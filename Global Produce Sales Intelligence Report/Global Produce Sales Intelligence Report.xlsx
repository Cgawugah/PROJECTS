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0"/>
  <workbookPr/>
  <mc:AlternateContent xmlns:mc="http://schemas.openxmlformats.org/markup-compatibility/2006">
    <mc:Choice Requires="x15">
      <x15ac:absPath xmlns:x15ac="http://schemas.microsoft.com/office/spreadsheetml/2010/11/ac" url="C:\Users\doeoc\Desktop\"/>
    </mc:Choice>
  </mc:AlternateContent>
  <xr:revisionPtr revIDLastSave="0" documentId="8_{4BFDC5BE-FDC4-4EE2-A9DC-2B547DE4F679}" xr6:coauthVersionLast="47" xr6:coauthVersionMax="47" xr10:uidLastSave="{00000000-0000-0000-0000-000000000000}"/>
  <bookViews>
    <workbookView xWindow="-108" yWindow="-108" windowWidth="23256" windowHeight="12456" tabRatio="796" firstSheet="1" activeTab="6" xr2:uid="{00000000-000D-0000-FFFF-FFFF00000000}"/>
  </bookViews>
  <sheets>
    <sheet name="BLOSSOM ACADEMY" sheetId="8" r:id="rId1"/>
    <sheet name="Data" sheetId="1" r:id="rId2"/>
    <sheet name="Table" sheetId="5" r:id="rId3"/>
    <sheet name="Descriptions" sheetId="10" r:id="rId4"/>
    <sheet name="One-dimensional Pivot Table" sheetId="3" r:id="rId5"/>
    <sheet name="Two-dimensional Pivot Table" sheetId="4" r:id="rId6"/>
    <sheet name="DASHBOARD " sheetId="13" r:id="rId7"/>
  </sheets>
  <definedNames>
    <definedName name="_xlnm._FilterDatabase" localSheetId="1" hidden="1">Data!$A$1:$F$214</definedName>
    <definedName name="Category">Table1[Category]</definedName>
    <definedName name="Slicer_Category">#N/A</definedName>
    <definedName name="Slicer_Country">#N/A</definedName>
    <definedName name="Slicer_Produc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9" i="10" l="1"/>
  <c r="B38" i="10"/>
  <c r="B36" i="10" a="1"/>
  <c r="B36" i="10" s="1"/>
  <c r="B35" i="10"/>
  <c r="B34" i="10"/>
  <c r="B33" i="10"/>
  <c r="B32" i="10"/>
  <c r="B31" i="10"/>
  <c r="B30" i="10"/>
  <c r="B29" i="10"/>
  <c r="B28" i="10"/>
  <c r="B27" i="10"/>
  <c r="B26" i="10"/>
  <c r="B25" i="10"/>
  <c r="B24" i="10"/>
  <c r="B23" i="10"/>
  <c r="Z2" i="5" a="1"/>
  <c r="Z2" i="5" s="1"/>
  <c r="B21" i="10"/>
  <c r="B16" i="10"/>
  <c r="B15" i="10"/>
  <c r="B5" i="10"/>
  <c r="B4" i="10"/>
  <c r="B3" i="10"/>
  <c r="B2" i="10"/>
  <c r="X6" i="5"/>
  <c r="X2" i="5" a="1"/>
  <c r="X2" i="5" s="1"/>
  <c r="V2" i="5" a="1"/>
  <c r="V2" i="5" s="1"/>
  <c r="B8" i="10" s="1"/>
  <c r="T2" i="5" a="1"/>
  <c r="T2" i="5" s="1"/>
  <c r="B6" i="10" s="1"/>
  <c r="B22" i="10" l="1"/>
  <c r="B9" i="10"/>
  <c r="B10" i="10"/>
  <c r="B11" i="10"/>
  <c r="B12" i="10"/>
  <c r="B13" i="10"/>
  <c r="B14" i="10"/>
  <c r="B7"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<sst xmlns="http://schemas.openxmlformats.org/spreadsheetml/2006/main" count="1539" uniqueCount="133">
  <si>
    <t>Country</t>
  </si>
  <si>
    <t>Order ID</t>
  </si>
  <si>
    <t>Product</t>
  </si>
  <si>
    <t>Category</t>
  </si>
  <si>
    <t>Amount</t>
  </si>
  <si>
    <t>Fruit</t>
  </si>
  <si>
    <t>Vegetables</t>
  </si>
  <si>
    <t>Date</t>
  </si>
  <si>
    <t>United States</t>
  </si>
  <si>
    <t>United Kingdom</t>
  </si>
  <si>
    <t>Canada</t>
  </si>
  <si>
    <t>Australia</t>
  </si>
  <si>
    <t>Germany</t>
  </si>
  <si>
    <t>Banana</t>
  </si>
  <si>
    <t>Apple</t>
  </si>
  <si>
    <t>Orange</t>
  </si>
  <si>
    <t>Mango</t>
  </si>
  <si>
    <t>Carrots</t>
  </si>
  <si>
    <t>Beans</t>
  </si>
  <si>
    <t>France</t>
  </si>
  <si>
    <t>New Zealand</t>
  </si>
  <si>
    <t>Cabbage</t>
  </si>
  <si>
    <t>TOTAL SALES FOR VEGETABLES</t>
  </si>
  <si>
    <t>Use sum function to find the total sales for vegetables</t>
  </si>
  <si>
    <t>TOTAL SALES FOR FRUITS</t>
  </si>
  <si>
    <t>COUNT OF CARROTS</t>
  </si>
  <si>
    <t>Used countif to find the total count of carrot in the dataset</t>
  </si>
  <si>
    <t>COUNT OF CABBAGE</t>
  </si>
  <si>
    <t>COUNT OF BANANA</t>
  </si>
  <si>
    <t>Used countif to find the total count of cabbage in the dataset</t>
  </si>
  <si>
    <t>Used countif to find the total count of banana in the dataset</t>
  </si>
  <si>
    <t>COUNT OF BEANS</t>
  </si>
  <si>
    <t>Used countif to find the total count of beans in the dataset</t>
  </si>
  <si>
    <t>COUNT OF ORANGE</t>
  </si>
  <si>
    <t>Used countif to find the total count of oranges in the dataset</t>
  </si>
  <si>
    <t>COUNT OF APPLE</t>
  </si>
  <si>
    <t>Used countif to find the total count of apples in the dataset</t>
  </si>
  <si>
    <t>COUNT OF MANGO</t>
  </si>
  <si>
    <t>Used countif to find the total count of mangoes in the dataset</t>
  </si>
  <si>
    <t xml:space="preserve">COUNT OF VEGETABLES </t>
  </si>
  <si>
    <t>COUNT OF FRUITS</t>
  </si>
  <si>
    <t>Used countif to find the total count of vegetables in the dataset</t>
  </si>
  <si>
    <t>Used countif to find the total count of fruits in the dataset</t>
  </si>
  <si>
    <t>AVERAGE SALES FOR VEGETABLES</t>
  </si>
  <si>
    <t>AVERAGE SALES FOR FRUITS</t>
  </si>
  <si>
    <t>Average Sales of Vegetables</t>
  </si>
  <si>
    <t>Average sales of fruits</t>
  </si>
  <si>
    <t>LOWEST SALES VALUE</t>
  </si>
  <si>
    <t>HIGHEST SALES VALUE</t>
  </si>
  <si>
    <t>Used min function to find the lowest sales value</t>
  </si>
  <si>
    <t>Used max function to find the highest</t>
  </si>
  <si>
    <t>Used conditional formatting to find the highest sales and highlighted it in green</t>
  </si>
  <si>
    <t>RANGE OF SALES VALUE</t>
  </si>
  <si>
    <t>Used conditional formatting (Icon set) to find the range pf sales value. Values that are greater than or equal to 67% were highlighted in green, those that were less than or equal to 67% highlighted in yello and those that were less than or equal to 33% highlighted in red.</t>
  </si>
  <si>
    <t>CELLS CONTAINING PARTICULAR WORDS</t>
  </si>
  <si>
    <t>Row Labels</t>
  </si>
  <si>
    <t>Grand Total</t>
  </si>
  <si>
    <t>Sum of Amount</t>
  </si>
  <si>
    <t>TOTAL SALES BY PRODUCTS</t>
  </si>
  <si>
    <t>TOTAL SALES BY CATEGORY</t>
  </si>
  <si>
    <t>TOTAL SALES BY COUNTRY</t>
  </si>
  <si>
    <t>AVERAGE SALES BY PRODUCT</t>
  </si>
  <si>
    <t>Average of Amount</t>
  </si>
  <si>
    <t>Column Labels</t>
  </si>
  <si>
    <t>SALES BY COUNTRY AND PRODUCT</t>
  </si>
  <si>
    <t>SALES BY CATEGORY AND COUNTRY</t>
  </si>
  <si>
    <t>Jan</t>
  </si>
  <si>
    <t>Feb</t>
  </si>
  <si>
    <t>Mar</t>
  </si>
  <si>
    <t>Apr</t>
  </si>
  <si>
    <t>May</t>
  </si>
  <si>
    <t>Jun</t>
  </si>
  <si>
    <t>Jul</t>
  </si>
  <si>
    <t>Aug</t>
  </si>
  <si>
    <t>Sep</t>
  </si>
  <si>
    <t>Oct</t>
  </si>
  <si>
    <t>Nov</t>
  </si>
  <si>
    <t>Dec</t>
  </si>
  <si>
    <t>SALES BY PRODUCTS AND MONTH</t>
  </si>
  <si>
    <t>MARKET TREND ANALYSIS</t>
  </si>
  <si>
    <t>PRODUCT TREND ANALYSIS</t>
  </si>
  <si>
    <t>SALES PERFORMANCE BY REGION</t>
  </si>
  <si>
    <t>NUMBER OF SALES IN UNITED SATES</t>
  </si>
  <si>
    <t>Used countif to find the number of sales in the united states</t>
  </si>
  <si>
    <t>Used countifs to determine the number of carrots sold in the united kingdom</t>
  </si>
  <si>
    <t>NUMBER OF CARROTS SOLD IN THE UNITED KINGDOM</t>
  </si>
  <si>
    <t>DATE FOR ORDER 1D 25</t>
  </si>
  <si>
    <t>Used Vlookup to find the order date for ID 25</t>
  </si>
  <si>
    <t>AMOUNT APPLE WAS SOLD FOR ORDER ID 10</t>
  </si>
  <si>
    <t>Used vlookup to identify how much order ID 10 bought their apple</t>
  </si>
  <si>
    <t>COUNTRY WHERE ORANGE WAS SOLD(first instance in the table)</t>
  </si>
  <si>
    <t>Used vlookup to identify the first instance in the table where orange was sold and in what country</t>
  </si>
  <si>
    <t>CATEGORY OF BANANA</t>
  </si>
  <si>
    <t>Used Vlookup to find the category of banana from the dataset</t>
  </si>
  <si>
    <t>Used if function to check for if cell b2 contains carrots and returns the corresponding amount</t>
  </si>
  <si>
    <t>IF</t>
  </si>
  <si>
    <t>Used Median to find the most middle number</t>
  </si>
  <si>
    <t>TOTAL AMOUNT OF ORANGES SOLD IN THE UNITED STATES</t>
  </si>
  <si>
    <t xml:space="preserve">Used SUMIFSto find the amounts in column D where the product is “Orange” and the country is “United States”. </t>
  </si>
  <si>
    <t>NUMBER OF TIMES BEANS WERE SOLD IN THE UNITED KINGDOM</t>
  </si>
  <si>
    <t>Used countifs to count the number of rows where the product is “Beans” and the country is “United Kingdom”.</t>
  </si>
  <si>
    <t>Used the left function to extract the first 3 letters of carrots from cell b2</t>
  </si>
  <si>
    <t>EXTRACTING FIRST 3 LETTERS</t>
  </si>
  <si>
    <t>Used Upper function to convert the text "Vegetable" in cell c2 into capital letters</t>
  </si>
  <si>
    <t>CONVERTING TEXT TO CAPITAL LETTERS</t>
  </si>
  <si>
    <t>EXTRACTING LETTERS LAST 4 LETTERS OF A TEXT</t>
  </si>
  <si>
    <t>Used right function to extract the last 4 letters of "Germany" from cell  F6</t>
  </si>
  <si>
    <t>Used Mid function to extract 3 letters from orange in cell b22 starting from the 2 letter</t>
  </si>
  <si>
    <t>EXTRACTING MID TEXT</t>
  </si>
  <si>
    <t>NUMBER OF CHARACTERS IN CELL F9</t>
  </si>
  <si>
    <t>Used the LEN function to find the number of characters in "new zealand" cell F9</t>
  </si>
  <si>
    <t>UNIQUE CHARACTERS IN CATEGORY FIELD</t>
  </si>
  <si>
    <t>Useed Uique to identify the unique characters in category</t>
  </si>
  <si>
    <t>EXPLANATION</t>
  </si>
  <si>
    <t>RETURNED VALUE</t>
  </si>
  <si>
    <t>WHAT I AM LOOKING FOR</t>
  </si>
  <si>
    <t>MOST FREQUENTLY OCCURING SALES VALUE</t>
  </si>
  <si>
    <t>MEDIAN SALES VALUE</t>
  </si>
  <si>
    <t>STANDARD DEVIATION OF SALES</t>
  </si>
  <si>
    <t>Used mode to calculate the most frequent occuring sales value</t>
  </si>
  <si>
    <t>Used STDEV.S to calculate the standard deviation of sales to understand the variability</t>
  </si>
  <si>
    <t>refer to Table</t>
  </si>
  <si>
    <t>LEGEND</t>
  </si>
  <si>
    <t>Carrot</t>
  </si>
  <si>
    <t>PRODUCT</t>
  </si>
  <si>
    <t>AMOUNT</t>
  </si>
  <si>
    <t>Above average</t>
  </si>
  <si>
    <t>Average</t>
  </si>
  <si>
    <t>Below avergae</t>
  </si>
  <si>
    <t>Lowest sales value</t>
  </si>
  <si>
    <t>Highest sales value</t>
  </si>
  <si>
    <t>Used conditional formatting to find the lowest sales and highlighted it in red</t>
  </si>
  <si>
    <t>Used contional formating to identify cells containing particular words(carrot -highlighted in red, cabbage highlighted in purple, banana highlighted in yello, orange highlighted in orange and beans highlighted in beans)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</si>
</sst>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0"/>
      <color rgb="FF111111"/>
      <name val="Segoe UI"/>
      <family val="2"/>
    </font>
    <font>
      <b/>
      <sz val="14"/>
      <color theme="1"/>
      <name val="Calibri"/>
      <family val="2"/>
      <scheme val="minor"/>
    </font>
    <font>
      <b/>
      <sz val="12"/>
      <color theme="1"/>
      <name val="Calibri"/>
      <family val="2"/>
      <scheme val="minor"/>
    </font>
  </fonts>
  <fills count="13">
    <fill>
      <patternFill patternType="none"/>
    </fill>
    <fill>
      <patternFill patternType="gray125"/>
    </fill>
    <fill>
      <patternFill patternType="solid">
        <fgColor theme="3" tint="-0.249977111117893"/>
        <bgColor indexed="64"/>
      </patternFill>
    </fill>
    <fill>
      <patternFill patternType="solid">
        <fgColor rgb="FF7030A0"/>
        <bgColor indexed="64"/>
      </patternFill>
    </fill>
    <fill>
      <patternFill patternType="solid">
        <fgColor theme="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rgb="FFFF0000"/>
        <bgColor indexed="64"/>
      </patternFill>
    </fill>
    <fill>
      <patternFill patternType="solid">
        <fgColor rgb="FF009999"/>
        <bgColor indexed="64"/>
      </patternFill>
    </fill>
    <fill>
      <patternFill patternType="solid">
        <fgColor rgb="FFCC3300"/>
        <bgColor indexed="64"/>
      </patternFill>
    </fill>
    <fill>
      <patternFill patternType="solid">
        <fgColor rgb="FF00B050"/>
        <bgColor indexed="64"/>
      </patternFill>
    </fill>
  </fills>
  <borders count="2">
    <border>
      <left/>
      <right/>
      <top/>
      <bottom/>
      <diagonal/>
    </border>
    <border>
      <left/>
      <right/>
      <top style="thin">
        <color theme="1"/>
      </top>
      <bottom style="thin">
        <color theme="1"/>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0" fontId="1" fillId="0" borderId="0" xfId="0"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4" fillId="0" borderId="0" xfId="0" applyFont="1" applyAlignment="1">
      <alignment horizontal="right"/>
    </xf>
    <xf numFmtId="164" fontId="0" fillId="0" borderId="0" xfId="0" applyNumberFormat="1" applyAlignment="1">
      <alignment horizontal="right"/>
    </xf>
    <xf numFmtId="164" fontId="0" fillId="0" borderId="0" xfId="1" applyNumberFormat="1" applyFont="1" applyAlignment="1">
      <alignment horizontal="right"/>
    </xf>
    <xf numFmtId="0" fontId="0" fillId="0" borderId="0" xfId="1" applyNumberFormat="1" applyFont="1" applyAlignment="1">
      <alignment horizontal="right"/>
    </xf>
    <xf numFmtId="0" fontId="0" fillId="0" borderId="0" xfId="0" applyAlignment="1">
      <alignment horizontal="right"/>
    </xf>
    <xf numFmtId="164" fontId="0" fillId="0" borderId="1" xfId="0" applyNumberFormat="1" applyBorder="1" applyAlignment="1">
      <alignment horizontal="right"/>
    </xf>
    <xf numFmtId="14" fontId="0" fillId="0" borderId="0" xfId="0" applyNumberFormat="1" applyAlignment="1">
      <alignment horizontal="right"/>
    </xf>
    <xf numFmtId="0" fontId="0" fillId="0" borderId="0" xfId="0" applyAlignment="1">
      <alignment wrapText="1"/>
    </xf>
    <xf numFmtId="0" fontId="0" fillId="2" borderId="0" xfId="0" applyFill="1"/>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5" fillId="0" borderId="0" xfId="0" applyFont="1"/>
    <xf numFmtId="0" fontId="0" fillId="12" borderId="0" xfId="0" applyFill="1"/>
    <xf numFmtId="164" fontId="0" fillId="0" borderId="1" xfId="0" applyNumberFormat="1" applyBorder="1"/>
    <xf numFmtId="0" fontId="5" fillId="0" borderId="0" xfId="0" applyFont="1" applyAlignment="1">
      <alignment horizontal="center"/>
    </xf>
  </cellXfs>
  <cellStyles count="2">
    <cellStyle name="Currency" xfId="1" builtinId="4"/>
    <cellStyle name="Normal" xfId="0" builtinId="0"/>
  </cellStyles>
  <dxfs count="18">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24994659260841701"/>
        </patternFill>
      </fill>
    </dxf>
    <dxf>
      <fill>
        <patternFill>
          <bgColor theme="5"/>
        </patternFill>
      </fill>
    </dxf>
    <dxf>
      <font>
        <color rgb="FF006100"/>
      </font>
      <fill>
        <patternFill>
          <bgColor rgb="FFC6EFCE"/>
        </patternFill>
      </fill>
    </dxf>
    <dxf>
      <fill>
        <patternFill>
          <bgColor rgb="FF7030A0"/>
        </patternFill>
      </fill>
    </dxf>
    <dxf>
      <fill>
        <patternFill>
          <bgColor theme="3" tint="0.39994506668294322"/>
        </patternFill>
      </fill>
    </dxf>
    <dxf>
      <fill>
        <patternFill>
          <bgColor rgb="FFFFC7CE"/>
        </patternFill>
      </fill>
    </dxf>
    <dxf>
      <fill>
        <patternFill>
          <bgColor rgb="FFFF0000"/>
        </patternFill>
      </fill>
    </dxf>
    <dxf>
      <numFmt numFmtId="19" formatCode="m/d/yyyy"/>
    </dxf>
    <dxf>
      <numFmt numFmtId="164" formatCode="&quot;$&quot;#,##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CC330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Produce Sales Intelligence Report.xlsx]One-dimensional Pivot Table!PivotTable1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02602002005026"/>
          <c:y val="0.18059855521155832"/>
          <c:w val="0.70052518627110194"/>
          <c:h val="0.60102224064097243"/>
        </c:manualLayout>
      </c:layout>
      <c:barChart>
        <c:barDir val="col"/>
        <c:grouping val="clustered"/>
        <c:varyColors val="0"/>
        <c:ser>
          <c:idx val="0"/>
          <c:order val="0"/>
          <c:tx>
            <c:strRef>
              <c:f>'One-dimensional Pivot Table'!$B$2</c:f>
              <c:strCache>
                <c:ptCount val="1"/>
                <c:pt idx="0">
                  <c:v>Total</c:v>
                </c:pt>
              </c:strCache>
            </c:strRef>
          </c:tx>
          <c:spPr>
            <a:solidFill>
              <a:schemeClr val="accent1"/>
            </a:solidFill>
            <a:ln>
              <a:noFill/>
            </a:ln>
            <a:effectLst/>
          </c:spPr>
          <c:invertIfNegative val="0"/>
          <c:cat>
            <c:strRef>
              <c:f>'One-dimensional Pivot Table'!$A$3:$A$10</c:f>
              <c:strCache>
                <c:ptCount val="7"/>
                <c:pt idx="0">
                  <c:v>Apple</c:v>
                </c:pt>
                <c:pt idx="1">
                  <c:v>Banana</c:v>
                </c:pt>
                <c:pt idx="2">
                  <c:v>Beans</c:v>
                </c:pt>
                <c:pt idx="3">
                  <c:v>Cabbage</c:v>
                </c:pt>
                <c:pt idx="4">
                  <c:v>Carrots</c:v>
                </c:pt>
                <c:pt idx="5">
                  <c:v>Mango</c:v>
                </c:pt>
                <c:pt idx="6">
                  <c:v>Orange</c:v>
                </c:pt>
              </c:strCache>
            </c:strRef>
          </c:cat>
          <c:val>
            <c:numRef>
              <c:f>'One-dimensional Pivot Table'!$B$3:$B$10</c:f>
              <c:numCache>
                <c:formatCode>General</c:formatCode>
                <c:ptCount val="7"/>
                <c:pt idx="0">
                  <c:v>191257</c:v>
                </c:pt>
                <c:pt idx="1">
                  <c:v>340295</c:v>
                </c:pt>
                <c:pt idx="2">
                  <c:v>57281</c:v>
                </c:pt>
                <c:pt idx="3">
                  <c:v>142439</c:v>
                </c:pt>
                <c:pt idx="4">
                  <c:v>136945</c:v>
                </c:pt>
                <c:pt idx="5">
                  <c:v>57079</c:v>
                </c:pt>
                <c:pt idx="6">
                  <c:v>104438</c:v>
                </c:pt>
              </c:numCache>
            </c:numRef>
          </c:val>
          <c:extLst>
            <c:ext xmlns:c16="http://schemas.microsoft.com/office/drawing/2014/chart" uri="{C3380CC4-5D6E-409C-BE32-E72D297353CC}">
              <c16:uniqueId val="{00000000-5A01-416E-9225-3DD80086116A}"/>
            </c:ext>
          </c:extLst>
        </c:ser>
        <c:dLbls>
          <c:showLegendKey val="0"/>
          <c:showVal val="0"/>
          <c:showCatName val="0"/>
          <c:showSerName val="0"/>
          <c:showPercent val="0"/>
          <c:showBubbleSize val="0"/>
        </c:dLbls>
        <c:gapWidth val="219"/>
        <c:overlap val="-27"/>
        <c:axId val="643998816"/>
        <c:axId val="643999296"/>
      </c:barChart>
      <c:catAx>
        <c:axId val="6439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99296"/>
        <c:crosses val="autoZero"/>
        <c:auto val="1"/>
        <c:lblAlgn val="ctr"/>
        <c:lblOffset val="100"/>
        <c:noMultiLvlLbl val="0"/>
      </c:catAx>
      <c:valAx>
        <c:axId val="64399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9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Produce Sales Intelligence Report.xlsx]One-dimensional Pivot Table!PivotTable2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CATEGORY</a:t>
            </a:r>
          </a:p>
        </c:rich>
      </c:tx>
      <c:layout>
        <c:manualLayout>
          <c:xMode val="edge"/>
          <c:yMode val="edge"/>
          <c:x val="0.16683126473597579"/>
          <c:y val="5.47740221496703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'One-dimensional Pivot Table'!$B$14</c:f>
              <c:strCache>
                <c:ptCount val="1"/>
                <c:pt idx="0">
                  <c:v>Total</c:v>
                </c:pt>
              </c:strCache>
            </c:strRef>
          </c:tx>
          <c:explosion val="5"/>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F3-408B-AECB-87DD6099B64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F3-408B-AECB-87DD6099B64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'One-dimensional Pivot Table'!$A$15:$A$17</c:f>
              <c:strCache>
                <c:ptCount val="2"/>
                <c:pt idx="0">
                  <c:v>Fruit</c:v>
                </c:pt>
                <c:pt idx="1">
                  <c:v>Vegetables</c:v>
                </c:pt>
              </c:strCache>
            </c:strRef>
          </c:cat>
          <c:val>
            <c:numRef>
              <c:f>'One-dimensional Pivot Table'!$B$15:$B$17</c:f>
              <c:numCache>
                <c:formatCode>General</c:formatCode>
                <c:ptCount val="2"/>
                <c:pt idx="0">
                  <c:v>693069</c:v>
                </c:pt>
                <c:pt idx="1">
                  <c:v>336665</c:v>
                </c:pt>
              </c:numCache>
            </c:numRef>
          </c:val>
          <c:extLst>
            <c:ext xmlns:c16="http://schemas.microsoft.com/office/drawing/2014/chart" uri="{C3380CC4-5D6E-409C-BE32-E72D297353CC}">
              <c16:uniqueId val="{00000004-4AF3-408B-AECB-87DD6099B6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Produce Sales Intelligence Report.xlsx]Two-dimensional 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SALES BY COUNTRY AND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'Two-dimensional Pivot Table'!$B$3:$B$4</c:f>
              <c:strCache>
                <c:ptCount val="1"/>
                <c:pt idx="0">
                  <c:v>Australia</c:v>
                </c:pt>
              </c:strCache>
            </c:strRef>
          </c:tx>
          <c:spPr>
            <a:solidFill>
              <a:schemeClr val="accent1"/>
            </a:solidFill>
            <a:ln>
              <a:noFill/>
            </a:ln>
            <a:effectLst/>
          </c:spPr>
          <c:invertIfNegative val="0"/>
          <c:cat>
            <c:strRef>
              <c:f>'Two-dimensional Pivot Table'!$A$5:$A$12</c:f>
              <c:strCache>
                <c:ptCount val="7"/>
                <c:pt idx="0">
                  <c:v>Apple</c:v>
                </c:pt>
                <c:pt idx="1">
                  <c:v>Banana</c:v>
                </c:pt>
                <c:pt idx="2">
                  <c:v>Beans</c:v>
                </c:pt>
                <c:pt idx="3">
                  <c:v>Cabbage</c:v>
                </c:pt>
                <c:pt idx="4">
                  <c:v>Carrots</c:v>
                </c:pt>
                <c:pt idx="5">
                  <c:v>Mango</c:v>
                </c:pt>
                <c:pt idx="6">
                  <c:v>Orange</c:v>
                </c:pt>
              </c:strCache>
            </c:strRef>
          </c:cat>
          <c:val>
            <c:numRef>
              <c:f>'Two-dimensional Pivot Table'!$B$5:$B$12</c:f>
              <c:numCache>
                <c:formatCode>General</c:formatCode>
                <c:ptCount val="7"/>
                <c:pt idx="0">
                  <c:v>20634</c:v>
                </c:pt>
                <c:pt idx="1">
                  <c:v>52721</c:v>
                </c:pt>
                <c:pt idx="2">
                  <c:v>14433</c:v>
                </c:pt>
                <c:pt idx="3">
                  <c:v>17953</c:v>
                </c:pt>
                <c:pt idx="4">
                  <c:v>8106</c:v>
                </c:pt>
                <c:pt idx="5">
                  <c:v>9186</c:v>
                </c:pt>
                <c:pt idx="6">
                  <c:v>8680</c:v>
                </c:pt>
              </c:numCache>
            </c:numRef>
          </c:val>
          <c:extLst>
            <c:ext xmlns:c16="http://schemas.microsoft.com/office/drawing/2014/chart" uri="{C3380CC4-5D6E-409C-BE32-E72D297353CC}">
              <c16:uniqueId val="{00000000-E7BB-4FCD-9F29-77D1561F7A78}"/>
            </c:ext>
          </c:extLst>
        </c:ser>
        <c:ser>
          <c:idx val="1"/>
          <c:order val="1"/>
          <c:tx>
            <c:strRef>
              <c:f>'Two-dimensional Pivot Table'!$C$3:$C$4</c:f>
              <c:strCache>
                <c:ptCount val="1"/>
                <c:pt idx="0">
                  <c:v>Canada</c:v>
                </c:pt>
              </c:strCache>
            </c:strRef>
          </c:tx>
          <c:spPr>
            <a:solidFill>
              <a:schemeClr val="accent2"/>
            </a:solidFill>
            <a:ln>
              <a:noFill/>
            </a:ln>
            <a:effectLst/>
          </c:spPr>
          <c:invertIfNegative val="0"/>
          <c:cat>
            <c:strRef>
              <c:f>'Two-dimensional Pivot Table'!$A$5:$A$12</c:f>
              <c:strCache>
                <c:ptCount val="7"/>
                <c:pt idx="0">
                  <c:v>Apple</c:v>
                </c:pt>
                <c:pt idx="1">
                  <c:v>Banana</c:v>
                </c:pt>
                <c:pt idx="2">
                  <c:v>Beans</c:v>
                </c:pt>
                <c:pt idx="3">
                  <c:v>Cabbage</c:v>
                </c:pt>
                <c:pt idx="4">
                  <c:v>Carrots</c:v>
                </c:pt>
                <c:pt idx="5">
                  <c:v>Mango</c:v>
                </c:pt>
                <c:pt idx="6">
                  <c:v>Orange</c:v>
                </c:pt>
              </c:strCache>
            </c:strRef>
          </c:cat>
          <c:val>
            <c:numRef>
              <c:f>'Two-dimensional Pivot Table'!$C$5:$C$12</c:f>
              <c:numCache>
                <c:formatCode>General</c:formatCode>
                <c:ptCount val="7"/>
                <c:pt idx="0">
                  <c:v>24867</c:v>
                </c:pt>
                <c:pt idx="1">
                  <c:v>33775</c:v>
                </c:pt>
                <c:pt idx="3">
                  <c:v>12407</c:v>
                </c:pt>
                <c:pt idx="5">
                  <c:v>3767</c:v>
                </c:pt>
                <c:pt idx="6">
                  <c:v>19929</c:v>
                </c:pt>
              </c:numCache>
            </c:numRef>
          </c:val>
          <c:extLst>
            <c:ext xmlns:c16="http://schemas.microsoft.com/office/drawing/2014/chart" uri="{C3380CC4-5D6E-409C-BE32-E72D297353CC}">
              <c16:uniqueId val="{00000006-74BB-4A47-AAE8-4ED61A8D2CF8}"/>
            </c:ext>
          </c:extLst>
        </c:ser>
        <c:ser>
          <c:idx val="2"/>
          <c:order val="2"/>
          <c:tx>
            <c:strRef>
              <c:f>'Two-dimensional Pivot Table'!$D$3:$D$4</c:f>
              <c:strCache>
                <c:ptCount val="1"/>
                <c:pt idx="0">
                  <c:v>France</c:v>
                </c:pt>
              </c:strCache>
            </c:strRef>
          </c:tx>
          <c:spPr>
            <a:solidFill>
              <a:schemeClr val="accent3"/>
            </a:solidFill>
            <a:ln>
              <a:noFill/>
            </a:ln>
            <a:effectLst/>
          </c:spPr>
          <c:invertIfNegative val="0"/>
          <c:cat>
            <c:strRef>
              <c:f>'Two-dimensional Pivot Table'!$A$5:$A$12</c:f>
              <c:strCache>
                <c:ptCount val="7"/>
                <c:pt idx="0">
                  <c:v>Apple</c:v>
                </c:pt>
                <c:pt idx="1">
                  <c:v>Banana</c:v>
                </c:pt>
                <c:pt idx="2">
                  <c:v>Beans</c:v>
                </c:pt>
                <c:pt idx="3">
                  <c:v>Cabbage</c:v>
                </c:pt>
                <c:pt idx="4">
                  <c:v>Carrots</c:v>
                </c:pt>
                <c:pt idx="5">
                  <c:v>Mango</c:v>
                </c:pt>
                <c:pt idx="6">
                  <c:v>Orange</c:v>
                </c:pt>
              </c:strCache>
            </c:strRef>
          </c:cat>
          <c:val>
            <c:numRef>
              <c:f>'Two-dimensional Pivot Table'!$D$5:$D$12</c:f>
              <c:numCache>
                <c:formatCode>General</c:formatCode>
                <c:ptCount val="7"/>
                <c:pt idx="0">
                  <c:v>80193</c:v>
                </c:pt>
                <c:pt idx="1">
                  <c:v>36094</c:v>
                </c:pt>
                <c:pt idx="2">
                  <c:v>680</c:v>
                </c:pt>
                <c:pt idx="3">
                  <c:v>5341</c:v>
                </c:pt>
                <c:pt idx="4">
                  <c:v>9104</c:v>
                </c:pt>
                <c:pt idx="5">
                  <c:v>7388</c:v>
                </c:pt>
                <c:pt idx="6">
                  <c:v>2256</c:v>
                </c:pt>
              </c:numCache>
            </c:numRef>
          </c:val>
          <c:extLst>
            <c:ext xmlns:c16="http://schemas.microsoft.com/office/drawing/2014/chart" uri="{C3380CC4-5D6E-409C-BE32-E72D297353CC}">
              <c16:uniqueId val="{00000007-74BB-4A47-AAE8-4ED61A8D2CF8}"/>
            </c:ext>
          </c:extLst>
        </c:ser>
        <c:ser>
          <c:idx val="3"/>
          <c:order val="3"/>
          <c:tx>
            <c:strRef>
              <c:f>'Two-dimensional Pivot Table'!$E$3:$E$4</c:f>
              <c:strCache>
                <c:ptCount val="1"/>
                <c:pt idx="0">
                  <c:v>Germany</c:v>
                </c:pt>
              </c:strCache>
            </c:strRef>
          </c:tx>
          <c:spPr>
            <a:solidFill>
              <a:schemeClr val="accent4"/>
            </a:solidFill>
            <a:ln>
              <a:noFill/>
            </a:ln>
            <a:effectLst/>
          </c:spPr>
          <c:invertIfNegative val="0"/>
          <c:cat>
            <c:strRef>
              <c:f>'Two-dimensional Pivot Table'!$A$5:$A$12</c:f>
              <c:strCache>
                <c:ptCount val="7"/>
                <c:pt idx="0">
                  <c:v>Apple</c:v>
                </c:pt>
                <c:pt idx="1">
                  <c:v>Banana</c:v>
                </c:pt>
                <c:pt idx="2">
                  <c:v>Beans</c:v>
                </c:pt>
                <c:pt idx="3">
                  <c:v>Cabbage</c:v>
                </c:pt>
                <c:pt idx="4">
                  <c:v>Carrots</c:v>
                </c:pt>
                <c:pt idx="5">
                  <c:v>Mango</c:v>
                </c:pt>
                <c:pt idx="6">
                  <c:v>Orange</c:v>
                </c:pt>
              </c:strCache>
            </c:strRef>
          </c:cat>
          <c:val>
            <c:numRef>
              <c:f>'Two-dimensional Pivot Table'!$E$5:$E$12</c:f>
              <c:numCache>
                <c:formatCode>General</c:formatCode>
                <c:ptCount val="7"/>
                <c:pt idx="0">
                  <c:v>9082</c:v>
                </c:pt>
                <c:pt idx="1">
                  <c:v>39686</c:v>
                </c:pt>
                <c:pt idx="2">
                  <c:v>29905</c:v>
                </c:pt>
                <c:pt idx="3">
                  <c:v>37197</c:v>
                </c:pt>
                <c:pt idx="4">
                  <c:v>21636</c:v>
                </c:pt>
                <c:pt idx="5">
                  <c:v>8775</c:v>
                </c:pt>
                <c:pt idx="6">
                  <c:v>8887</c:v>
                </c:pt>
              </c:numCache>
            </c:numRef>
          </c:val>
          <c:extLst>
            <c:ext xmlns:c16="http://schemas.microsoft.com/office/drawing/2014/chart" uri="{C3380CC4-5D6E-409C-BE32-E72D297353CC}">
              <c16:uniqueId val="{00000008-74BB-4A47-AAE8-4ED61A8D2CF8}"/>
            </c:ext>
          </c:extLst>
        </c:ser>
        <c:ser>
          <c:idx val="4"/>
          <c:order val="4"/>
          <c:tx>
            <c:strRef>
              <c:f>'Two-dimensional Pivot Table'!$F$3:$F$4</c:f>
              <c:strCache>
                <c:ptCount val="1"/>
                <c:pt idx="0">
                  <c:v>New Zealand</c:v>
                </c:pt>
              </c:strCache>
            </c:strRef>
          </c:tx>
          <c:spPr>
            <a:solidFill>
              <a:schemeClr val="accent5"/>
            </a:solidFill>
            <a:ln>
              <a:noFill/>
            </a:ln>
            <a:effectLst/>
          </c:spPr>
          <c:invertIfNegative val="0"/>
          <c:cat>
            <c:strRef>
              <c:f>'Two-dimensional Pivot Table'!$A$5:$A$12</c:f>
              <c:strCache>
                <c:ptCount val="7"/>
                <c:pt idx="0">
                  <c:v>Apple</c:v>
                </c:pt>
                <c:pt idx="1">
                  <c:v>Banana</c:v>
                </c:pt>
                <c:pt idx="2">
                  <c:v>Beans</c:v>
                </c:pt>
                <c:pt idx="3">
                  <c:v>Cabbage</c:v>
                </c:pt>
                <c:pt idx="4">
                  <c:v>Carrots</c:v>
                </c:pt>
                <c:pt idx="5">
                  <c:v>Mango</c:v>
                </c:pt>
                <c:pt idx="6">
                  <c:v>Orange</c:v>
                </c:pt>
              </c:strCache>
            </c:strRef>
          </c:cat>
          <c:val>
            <c:numRef>
              <c:f>'Two-dimensional Pivot Table'!$F$5:$F$12</c:f>
              <c:numCache>
                <c:formatCode>General</c:formatCode>
                <c:ptCount val="7"/>
                <c:pt idx="0">
                  <c:v>10332</c:v>
                </c:pt>
                <c:pt idx="1">
                  <c:v>40050</c:v>
                </c:pt>
                <c:pt idx="3">
                  <c:v>4390</c:v>
                </c:pt>
                <c:pt idx="6">
                  <c:v>12010</c:v>
                </c:pt>
              </c:numCache>
            </c:numRef>
          </c:val>
          <c:extLst>
            <c:ext xmlns:c16="http://schemas.microsoft.com/office/drawing/2014/chart" uri="{C3380CC4-5D6E-409C-BE32-E72D297353CC}">
              <c16:uniqueId val="{00000009-74BB-4A47-AAE8-4ED61A8D2CF8}"/>
            </c:ext>
          </c:extLst>
        </c:ser>
        <c:ser>
          <c:idx val="5"/>
          <c:order val="5"/>
          <c:tx>
            <c:strRef>
              <c:f>'Two-dimensional Pivot Table'!$G$3:$G$4</c:f>
              <c:strCache>
                <c:ptCount val="1"/>
                <c:pt idx="0">
                  <c:v>United Kingdom</c:v>
                </c:pt>
              </c:strCache>
            </c:strRef>
          </c:tx>
          <c:spPr>
            <a:solidFill>
              <a:schemeClr val="accent6"/>
            </a:solidFill>
            <a:ln>
              <a:noFill/>
            </a:ln>
            <a:effectLst/>
          </c:spPr>
          <c:invertIfNegative val="0"/>
          <c:cat>
            <c:strRef>
              <c:f>'Two-dimensional Pivot Table'!$A$5:$A$12</c:f>
              <c:strCache>
                <c:ptCount val="7"/>
                <c:pt idx="0">
                  <c:v>Apple</c:v>
                </c:pt>
                <c:pt idx="1">
                  <c:v>Banana</c:v>
                </c:pt>
                <c:pt idx="2">
                  <c:v>Beans</c:v>
                </c:pt>
                <c:pt idx="3">
                  <c:v>Cabbage</c:v>
                </c:pt>
                <c:pt idx="4">
                  <c:v>Carrots</c:v>
                </c:pt>
                <c:pt idx="5">
                  <c:v>Mango</c:v>
                </c:pt>
                <c:pt idx="6">
                  <c:v>Orange</c:v>
                </c:pt>
              </c:strCache>
            </c:strRef>
          </c:cat>
          <c:val>
            <c:numRef>
              <c:f>'Two-dimensional Pivot Table'!$G$5:$G$12</c:f>
              <c:numCache>
                <c:formatCode>General</c:formatCode>
                <c:ptCount val="7"/>
                <c:pt idx="0">
                  <c:v>17534</c:v>
                </c:pt>
                <c:pt idx="1">
                  <c:v>42908</c:v>
                </c:pt>
                <c:pt idx="2">
                  <c:v>5100</c:v>
                </c:pt>
                <c:pt idx="3">
                  <c:v>38436</c:v>
                </c:pt>
                <c:pt idx="4">
                  <c:v>41815</c:v>
                </c:pt>
                <c:pt idx="5">
                  <c:v>5600</c:v>
                </c:pt>
                <c:pt idx="6">
                  <c:v>21744</c:v>
                </c:pt>
              </c:numCache>
            </c:numRef>
          </c:val>
          <c:extLst>
            <c:ext xmlns:c16="http://schemas.microsoft.com/office/drawing/2014/chart" uri="{C3380CC4-5D6E-409C-BE32-E72D297353CC}">
              <c16:uniqueId val="{0000000A-74BB-4A47-AAE8-4ED61A8D2CF8}"/>
            </c:ext>
          </c:extLst>
        </c:ser>
        <c:ser>
          <c:idx val="6"/>
          <c:order val="6"/>
          <c:tx>
            <c:strRef>
              <c:f>'Two-dimensional Pivot Table'!$H$3:$H$4</c:f>
              <c:strCache>
                <c:ptCount val="1"/>
                <c:pt idx="0">
                  <c:v>United States</c:v>
                </c:pt>
              </c:strCache>
            </c:strRef>
          </c:tx>
          <c:spPr>
            <a:solidFill>
              <a:schemeClr val="accent1">
                <a:lumMod val="60000"/>
              </a:schemeClr>
            </a:solidFill>
            <a:ln>
              <a:noFill/>
            </a:ln>
            <a:effectLst/>
          </c:spPr>
          <c:invertIfNegative val="0"/>
          <c:cat>
            <c:strRef>
              <c:f>'Two-dimensional Pivot Table'!$A$5:$A$12</c:f>
              <c:strCache>
                <c:ptCount val="7"/>
                <c:pt idx="0">
                  <c:v>Apple</c:v>
                </c:pt>
                <c:pt idx="1">
                  <c:v>Banana</c:v>
                </c:pt>
                <c:pt idx="2">
                  <c:v>Beans</c:v>
                </c:pt>
                <c:pt idx="3">
                  <c:v>Cabbage</c:v>
                </c:pt>
                <c:pt idx="4">
                  <c:v>Carrots</c:v>
                </c:pt>
                <c:pt idx="5">
                  <c:v>Mango</c:v>
                </c:pt>
                <c:pt idx="6">
                  <c:v>Orange</c:v>
                </c:pt>
              </c:strCache>
            </c:strRef>
          </c:cat>
          <c:val>
            <c:numRef>
              <c:f>'Two-dimensional Pivot Table'!$H$5:$H$12</c:f>
              <c:numCache>
                <c:formatCode>General</c:formatCode>
                <c:ptCount val="7"/>
                <c:pt idx="0">
                  <c:v>28615</c:v>
                </c:pt>
                <c:pt idx="1">
                  <c:v>95061</c:v>
                </c:pt>
                <c:pt idx="2">
                  <c:v>7163</c:v>
                </c:pt>
                <c:pt idx="3">
                  <c:v>26715</c:v>
                </c:pt>
                <c:pt idx="4">
                  <c:v>56284</c:v>
                </c:pt>
                <c:pt idx="5">
                  <c:v>22363</c:v>
                </c:pt>
                <c:pt idx="6">
                  <c:v>30932</c:v>
                </c:pt>
              </c:numCache>
            </c:numRef>
          </c:val>
          <c:extLst>
            <c:ext xmlns:c16="http://schemas.microsoft.com/office/drawing/2014/chart" uri="{C3380CC4-5D6E-409C-BE32-E72D297353CC}">
              <c16:uniqueId val="{0000000C-74BB-4A47-AAE8-4ED61A8D2CF8}"/>
            </c:ext>
          </c:extLst>
        </c:ser>
        <c:dLbls>
          <c:showLegendKey val="0"/>
          <c:showVal val="0"/>
          <c:showCatName val="0"/>
          <c:showSerName val="0"/>
          <c:showPercent val="0"/>
          <c:showBubbleSize val="0"/>
        </c:dLbls>
        <c:gapWidth val="182"/>
        <c:axId val="679486992"/>
        <c:axId val="679487952"/>
      </c:barChart>
      <c:catAx>
        <c:axId val="67948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87952"/>
        <c:crosses val="autoZero"/>
        <c:auto val="1"/>
        <c:lblAlgn val="ctr"/>
        <c:lblOffset val="100"/>
        <c:noMultiLvlLbl val="0"/>
      </c:catAx>
      <c:valAx>
        <c:axId val="679487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8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Produce Sales Intelligence Report.xlsx]Two-dimensional 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SALES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'Two-dimensional Pivot Table'!$B$69:$B$70</c:f>
              <c:strCache>
                <c:ptCount val="1"/>
                <c:pt idx="0">
                  <c:v>Fruit</c:v>
                </c:pt>
              </c:strCache>
            </c:strRef>
          </c:tx>
          <c:spPr>
            <a:solidFill>
              <a:schemeClr val="accent1"/>
            </a:solidFill>
            <a:ln>
              <a:noFill/>
            </a:ln>
            <a:effectLst/>
          </c:spPr>
          <c:invertIfNegative val="0"/>
          <c:cat>
            <c:strRef>
              <c:f>'Two-dimensional Pivot Table'!$A$71:$A$78</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Table'!$B$71:$B$78</c:f>
              <c:numCache>
                <c:formatCode>General</c:formatCode>
                <c:ptCount val="7"/>
                <c:pt idx="0">
                  <c:v>91221</c:v>
                </c:pt>
                <c:pt idx="1">
                  <c:v>82338</c:v>
                </c:pt>
                <c:pt idx="2">
                  <c:v>125931</c:v>
                </c:pt>
                <c:pt idx="3">
                  <c:v>66430</c:v>
                </c:pt>
                <c:pt idx="4">
                  <c:v>62392</c:v>
                </c:pt>
                <c:pt idx="5">
                  <c:v>87786</c:v>
                </c:pt>
                <c:pt idx="6">
                  <c:v>176971</c:v>
                </c:pt>
              </c:numCache>
            </c:numRef>
          </c:val>
          <c:extLst>
            <c:ext xmlns:c16="http://schemas.microsoft.com/office/drawing/2014/chart" uri="{C3380CC4-5D6E-409C-BE32-E72D297353CC}">
              <c16:uniqueId val="{00000000-8F2D-4022-ADB3-33707CAD95DC}"/>
            </c:ext>
          </c:extLst>
        </c:ser>
        <c:ser>
          <c:idx val="1"/>
          <c:order val="1"/>
          <c:tx>
            <c:strRef>
              <c:f>'Two-dimensional Pivot Table'!$C$69:$C$70</c:f>
              <c:strCache>
                <c:ptCount val="1"/>
                <c:pt idx="0">
                  <c:v>Vegetables</c:v>
                </c:pt>
              </c:strCache>
            </c:strRef>
          </c:tx>
          <c:spPr>
            <a:solidFill>
              <a:schemeClr val="accent2"/>
            </a:solidFill>
            <a:ln>
              <a:noFill/>
            </a:ln>
            <a:effectLst/>
          </c:spPr>
          <c:invertIfNegative val="0"/>
          <c:cat>
            <c:strRef>
              <c:f>'Two-dimensional Pivot Table'!$A$71:$A$78</c:f>
              <c:strCache>
                <c:ptCount val="7"/>
                <c:pt idx="0">
                  <c:v>Australia</c:v>
                </c:pt>
                <c:pt idx="1">
                  <c:v>Canada</c:v>
                </c:pt>
                <c:pt idx="2">
                  <c:v>France</c:v>
                </c:pt>
                <c:pt idx="3">
                  <c:v>Germany</c:v>
                </c:pt>
                <c:pt idx="4">
                  <c:v>New Zealand</c:v>
                </c:pt>
                <c:pt idx="5">
                  <c:v>United Kingdom</c:v>
                </c:pt>
                <c:pt idx="6">
                  <c:v>United States</c:v>
                </c:pt>
              </c:strCache>
            </c:strRef>
          </c:cat>
          <c:val>
            <c:numRef>
              <c:f>'Two-dimensional Pivot Table'!$C$71:$C$78</c:f>
              <c:numCache>
                <c:formatCode>General</c:formatCode>
                <c:ptCount val="7"/>
                <c:pt idx="0">
                  <c:v>40492</c:v>
                </c:pt>
                <c:pt idx="1">
                  <c:v>12407</c:v>
                </c:pt>
                <c:pt idx="2">
                  <c:v>15125</c:v>
                </c:pt>
                <c:pt idx="3">
                  <c:v>88738</c:v>
                </c:pt>
                <c:pt idx="4">
                  <c:v>4390</c:v>
                </c:pt>
                <c:pt idx="5">
                  <c:v>85351</c:v>
                </c:pt>
                <c:pt idx="6">
                  <c:v>90162</c:v>
                </c:pt>
              </c:numCache>
            </c:numRef>
          </c:val>
          <c:extLst>
            <c:ext xmlns:c16="http://schemas.microsoft.com/office/drawing/2014/chart" uri="{C3380CC4-5D6E-409C-BE32-E72D297353CC}">
              <c16:uniqueId val="{00000007-09AD-4684-B2F7-2209BCF4E563}"/>
            </c:ext>
          </c:extLst>
        </c:ser>
        <c:dLbls>
          <c:showLegendKey val="0"/>
          <c:showVal val="0"/>
          <c:showCatName val="0"/>
          <c:showSerName val="0"/>
          <c:showPercent val="0"/>
          <c:showBubbleSize val="0"/>
        </c:dLbls>
        <c:gapWidth val="182"/>
        <c:axId val="347763696"/>
        <c:axId val="347764656"/>
      </c:barChart>
      <c:catAx>
        <c:axId val="34776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64656"/>
        <c:crosses val="autoZero"/>
        <c:auto val="1"/>
        <c:lblAlgn val="ctr"/>
        <c:lblOffset val="100"/>
        <c:noMultiLvlLbl val="0"/>
      </c:catAx>
      <c:valAx>
        <c:axId val="347764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6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Produce Sales Intelligence Report.xlsx]Two-dimensional Pivot Table!PivotTable8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PRODUCT</a:t>
            </a:r>
            <a:r>
              <a:rPr lang="en-US" sz="1600" b="1" baseline="0">
                <a:solidFill>
                  <a:schemeClr val="tx1"/>
                </a:solidFill>
              </a:rPr>
              <a:t> TREND ANALYSIS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'Two-dimensional Pivot Table'!$B$38:$B$39</c:f>
              <c:strCache>
                <c:ptCount val="1"/>
                <c:pt idx="0">
                  <c:v>Fruit</c:v>
                </c:pt>
              </c:strCache>
            </c:strRef>
          </c:tx>
          <c:spPr>
            <a:ln w="28575" cap="rnd">
              <a:solidFill>
                <a:schemeClr val="accent1"/>
              </a:solidFill>
              <a:round/>
            </a:ln>
            <a:effectLst/>
          </c:spPr>
          <c:marker>
            <c:symbol val="none"/>
          </c:marker>
          <c:cat>
            <c:strRef>
              <c:f>'Two-dimensional Pivot Table'!$A$40:$A$52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'Two-dimensional Pivot Table'!$B$40:$B$52</c:f>
              <c:numCache>
                <c:formatCode>General</c:formatCode>
                <c:ptCount val="12"/>
                <c:pt idx="0">
                  <c:v>50132</c:v>
                </c:pt>
                <c:pt idx="1">
                  <c:v>40228</c:v>
                </c:pt>
                <c:pt idx="2">
                  <c:v>71458</c:v>
                </c:pt>
                <c:pt idx="3">
                  <c:v>31700</c:v>
                </c:pt>
                <c:pt idx="4">
                  <c:v>149252</c:v>
                </c:pt>
                <c:pt idx="5">
                  <c:v>25848</c:v>
                </c:pt>
                <c:pt idx="6">
                  <c:v>53398</c:v>
                </c:pt>
                <c:pt idx="7">
                  <c:v>33450</c:v>
                </c:pt>
                <c:pt idx="8">
                  <c:v>75895</c:v>
                </c:pt>
                <c:pt idx="9">
                  <c:v>37651</c:v>
                </c:pt>
                <c:pt idx="10">
                  <c:v>65599</c:v>
                </c:pt>
                <c:pt idx="11">
                  <c:v>58458</c:v>
                </c:pt>
              </c:numCache>
            </c:numRef>
          </c:val>
          <c:smooth val="0"/>
          <c:extLst>
            <c:ext xmlns:c16="http://schemas.microsoft.com/office/drawing/2014/chart" uri="{C3380CC4-5D6E-409C-BE32-E72D297353CC}">
              <c16:uniqueId val="{00000000-09D3-4246-B39A-40D85CEFEAC2}"/>
            </c:ext>
          </c:extLst>
        </c:ser>
        <c:ser>
          <c:idx val="1"/>
          <c:order val="1"/>
          <c:tx>
            <c:strRef>
              <c:f>'Two-dimensional Pivot Table'!$C$38:$C$39</c:f>
              <c:strCache>
                <c:ptCount val="1"/>
                <c:pt idx="0">
                  <c:v>Vegetables</c:v>
                </c:pt>
              </c:strCache>
            </c:strRef>
          </c:tx>
          <c:spPr>
            <a:ln w="28575" cap="rnd">
              <a:solidFill>
                <a:schemeClr val="accent2"/>
              </a:solidFill>
              <a:round/>
            </a:ln>
            <a:effectLst/>
          </c:spPr>
          <c:marker>
            <c:symbol val="none"/>
          </c:marker>
          <c:cat>
            <c:strRef>
              <c:f>'Two-dimensional Pivot Table'!$A$40:$A$52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'Two-dimensional Pivot Table'!$C$40:$C$52</c:f>
              <c:numCache>
                <c:formatCode>General</c:formatCode>
                <c:ptCount val="12"/>
                <c:pt idx="0">
                  <c:v>39531</c:v>
                </c:pt>
                <c:pt idx="1">
                  <c:v>22534</c:v>
                </c:pt>
                <c:pt idx="2">
                  <c:v>33108</c:v>
                </c:pt>
                <c:pt idx="3">
                  <c:v>17774</c:v>
                </c:pt>
                <c:pt idx="4">
                  <c:v>54087</c:v>
                </c:pt>
                <c:pt idx="5">
                  <c:v>25752</c:v>
                </c:pt>
                <c:pt idx="6">
                  <c:v>27337</c:v>
                </c:pt>
                <c:pt idx="7">
                  <c:v>35544</c:v>
                </c:pt>
                <c:pt idx="8">
                  <c:v>26538</c:v>
                </c:pt>
                <c:pt idx="9">
                  <c:v>14964</c:v>
                </c:pt>
                <c:pt idx="10">
                  <c:v>8141</c:v>
                </c:pt>
                <c:pt idx="11">
                  <c:v>31355</c:v>
                </c:pt>
              </c:numCache>
            </c:numRef>
          </c:val>
          <c:smooth val="0"/>
          <c:extLst>
            <c:ext xmlns:c16="http://schemas.microsoft.com/office/drawing/2014/chart" uri="{C3380CC4-5D6E-409C-BE32-E72D297353CC}">
              <c16:uniqueId val="{00000008-FF7C-4B9D-B27E-4E869D5CD1D8}"/>
            </c:ext>
          </c:extLst>
        </c:ser>
        <c:dLbls>
          <c:showLegendKey val="0"/>
          <c:showVal val="0"/>
          <c:showCatName val="0"/>
          <c:showSerName val="0"/>
          <c:showPercent val="0"/>
          <c:showBubbleSize val="0"/>
        </c:dLbls>
        <c:smooth val="0"/>
        <c:axId val="2105655903"/>
        <c:axId val="2105670783"/>
      </c:lineChart>
      <c:catAx>
        <c:axId val="210565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70783"/>
        <c:crosses val="autoZero"/>
        <c:auto val="1"/>
        <c:lblAlgn val="ctr"/>
        <c:lblOffset val="100"/>
        <c:noMultiLvlLbl val="0"/>
      </c:catAx>
      <c:valAx>
        <c:axId val="210567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55903"/>
        <c:crosses val="autoZero"/>
        <c:crossBetween val="between"/>
      </c:valAx>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342900</xdr:colOff>
      <xdr:row>3</xdr:row>
      <xdr:rowOff>0</xdr:rowOff>
    </xdr:from>
    <xdr:to>
      <xdr:col>19</xdr:col>
      <xdr:colOff>111598</xdr:colOff>
      <xdr:row>21</xdr:row>
      <xdr:rowOff>171450</xdr:rowOff>
    </xdr:to>
    <xdr:pic>
      <xdr:nvPicPr>
        <xdr:cNvPr id="2" name="Picture 1">
          <a:extLst>
            <a:ext uri="{FF2B5EF4-FFF2-40B4-BE49-F238E27FC236}">
              <a16:creationId xmlns:a16="http://schemas.microsoft.com/office/drawing/2014/main" id="{6AE15283-996F-4FAB-B771-755258217E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0" y="571500"/>
          <a:ext cx="10741498" cy="3600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91440</xdr:rowOff>
    </xdr:from>
    <xdr:to>
      <xdr:col>19</xdr:col>
      <xdr:colOff>571500</xdr:colOff>
      <xdr:row>4</xdr:row>
      <xdr:rowOff>38100</xdr:rowOff>
    </xdr:to>
    <xdr:grpSp>
      <xdr:nvGrpSpPr>
        <xdr:cNvPr id="6" name="Group 5">
          <a:extLst>
            <a:ext uri="{FF2B5EF4-FFF2-40B4-BE49-F238E27FC236}">
              <a16:creationId xmlns:a16="http://schemas.microsoft.com/office/drawing/2014/main" id="{5091BD7D-CAAA-E818-2AE8-09FC3C37C8CD}"/>
            </a:ext>
          </a:extLst>
        </xdr:cNvPr>
        <xdr:cNvGrpSpPr/>
      </xdr:nvGrpSpPr>
      <xdr:grpSpPr>
        <a:xfrm>
          <a:off x="7620" y="91440"/>
          <a:ext cx="12146280" cy="678180"/>
          <a:chOff x="83820" y="91440"/>
          <a:chExt cx="12146280" cy="678180"/>
        </a:xfrm>
        <a:solidFill>
          <a:schemeClr val="bg1">
            <a:lumMod val="65000"/>
          </a:schemeClr>
        </a:solidFill>
      </xdr:grpSpPr>
      <xdr:grpSp>
        <xdr:nvGrpSpPr>
          <xdr:cNvPr id="50" name="Group 49">
            <a:extLst>
              <a:ext uri="{FF2B5EF4-FFF2-40B4-BE49-F238E27FC236}">
                <a16:creationId xmlns:a16="http://schemas.microsoft.com/office/drawing/2014/main" id="{A31F0658-FA7A-8CAF-2F98-C914225FB56A}"/>
              </a:ext>
            </a:extLst>
          </xdr:cNvPr>
          <xdr:cNvGrpSpPr/>
        </xdr:nvGrpSpPr>
        <xdr:grpSpPr>
          <a:xfrm>
            <a:off x="83820" y="91440"/>
            <a:ext cx="12146280" cy="678180"/>
            <a:chOff x="129540" y="76200"/>
            <a:chExt cx="12146280" cy="678180"/>
          </a:xfrm>
          <a:grpFill/>
        </xdr:grpSpPr>
        <xdr:sp macro="" textlink="">
          <xdr:nvSpPr>
            <xdr:cNvPr id="2" name="Rectangle: Rounded Corners 1">
              <a:extLst>
                <a:ext uri="{FF2B5EF4-FFF2-40B4-BE49-F238E27FC236}">
                  <a16:creationId xmlns:a16="http://schemas.microsoft.com/office/drawing/2014/main" id="{1D2A2D3C-420E-4696-6B76-6DD5C8945297}"/>
                </a:ext>
              </a:extLst>
            </xdr:cNvPr>
            <xdr:cNvSpPr/>
          </xdr:nvSpPr>
          <xdr:spPr>
            <a:xfrm>
              <a:off x="129540" y="76200"/>
              <a:ext cx="12146280" cy="6781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80CE5915-BEB4-FC83-EEB7-33A6D0B5EC8C}"/>
                </a:ext>
              </a:extLst>
            </xdr:cNvPr>
            <xdr:cNvSpPr txBox="1"/>
          </xdr:nvSpPr>
          <xdr:spPr>
            <a:xfrm>
              <a:off x="1882140" y="190500"/>
              <a:ext cx="9829800" cy="3733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mn-lt"/>
                  <a:ea typeface="+mn-ea"/>
                  <a:cs typeface="+mn-cs"/>
                </a:rPr>
                <a:t>COMPREHENSIVE SALES DASHBOARD: FRUITS</a:t>
              </a:r>
              <a:r>
                <a:rPr lang="en-US" sz="2000" b="1" i="0" baseline="0">
                  <a:solidFill>
                    <a:schemeClr val="dk1"/>
                  </a:solidFill>
                  <a:effectLst/>
                  <a:latin typeface="+mn-lt"/>
                  <a:ea typeface="+mn-ea"/>
                  <a:cs typeface="+mn-cs"/>
                </a:rPr>
                <a:t> AND VEGETABLES </a:t>
              </a:r>
              <a:r>
                <a:rPr lang="en-US" sz="2000" b="1" i="0">
                  <a:solidFill>
                    <a:schemeClr val="dk1"/>
                  </a:solidFill>
                  <a:effectLst/>
                  <a:latin typeface="+mn-lt"/>
                  <a:ea typeface="+mn-ea"/>
                  <a:cs typeface="+mn-cs"/>
                </a:rPr>
                <a:t>(2016) </a:t>
              </a:r>
              <a:endParaRPr lang="en-US" sz="2000">
                <a:effectLst/>
              </a:endParaRPr>
            </a:p>
            <a:p>
              <a:endParaRPr lang="en-US" sz="1800"/>
            </a:p>
          </xdr:txBody>
        </xdr:sp>
      </xdr:grpSp>
      <xdr:pic>
        <xdr:nvPicPr>
          <xdr:cNvPr id="4" name="Picture 3">
            <a:extLst>
              <a:ext uri="{FF2B5EF4-FFF2-40B4-BE49-F238E27FC236}">
                <a16:creationId xmlns:a16="http://schemas.microsoft.com/office/drawing/2014/main" id="{C4814D45-6187-4743-B7B0-35776F67730E}"/>
              </a:ext>
            </a:extLst>
          </xdr:cNvPr>
          <xdr:cNvPicPr>
            <a:picLocks noChangeAspect="1"/>
          </xdr:cNvPicPr>
        </xdr:nvPicPr>
        <xdr:blipFill>
          <a:blip xmlns:r="http://schemas.openxmlformats.org/officeDocument/2006/relationships" r:embed="rId1"/>
          <a:stretch>
            <a:fillRect/>
          </a:stretch>
        </xdr:blipFill>
        <xdr:spPr>
          <a:xfrm>
            <a:off x="274320" y="114301"/>
            <a:ext cx="1651515" cy="556260"/>
          </a:xfrm>
          <a:prstGeom prst="rect">
            <a:avLst/>
          </a:prstGeom>
          <a:grpFill/>
          <a:ln>
            <a:noFill/>
          </a:ln>
          <a:effectLst>
            <a:softEdge rad="127000"/>
          </a:effectLst>
        </xdr:spPr>
      </xdr:pic>
    </xdr:grpSp>
    <xdr:clientData/>
  </xdr:twoCellAnchor>
  <xdr:twoCellAnchor>
    <xdr:from>
      <xdr:col>3</xdr:col>
      <xdr:colOff>68580</xdr:colOff>
      <xdr:row>4</xdr:row>
      <xdr:rowOff>68580</xdr:rowOff>
    </xdr:from>
    <xdr:to>
      <xdr:col>11</xdr:col>
      <xdr:colOff>236220</xdr:colOff>
      <xdr:row>17</xdr:row>
      <xdr:rowOff>45720</xdr:rowOff>
    </xdr:to>
    <xdr:grpSp>
      <xdr:nvGrpSpPr>
        <xdr:cNvPr id="48" name="Group 47">
          <a:extLst>
            <a:ext uri="{FF2B5EF4-FFF2-40B4-BE49-F238E27FC236}">
              <a16:creationId xmlns:a16="http://schemas.microsoft.com/office/drawing/2014/main" id="{4A84658B-8CE4-40F3-9DEC-590C500FC9B4}"/>
            </a:ext>
          </a:extLst>
        </xdr:cNvPr>
        <xdr:cNvGrpSpPr/>
      </xdr:nvGrpSpPr>
      <xdr:grpSpPr>
        <a:xfrm>
          <a:off x="1897380" y="800100"/>
          <a:ext cx="5044440" cy="2354580"/>
          <a:chOff x="1897380" y="853440"/>
          <a:chExt cx="5052060" cy="2804160"/>
        </a:xfrm>
        <a:solidFill>
          <a:schemeClr val="bg2"/>
        </a:solidFill>
      </xdr:grpSpPr>
      <xdr:grpSp>
        <xdr:nvGrpSpPr>
          <xdr:cNvPr id="47" name="Group 46">
            <a:extLst>
              <a:ext uri="{FF2B5EF4-FFF2-40B4-BE49-F238E27FC236}">
                <a16:creationId xmlns:a16="http://schemas.microsoft.com/office/drawing/2014/main" id="{9A9ED98B-23AB-65DE-0996-F6EC1E3B9935}"/>
              </a:ext>
            </a:extLst>
          </xdr:cNvPr>
          <xdr:cNvGrpSpPr/>
        </xdr:nvGrpSpPr>
        <xdr:grpSpPr>
          <a:xfrm>
            <a:off x="1897380" y="853440"/>
            <a:ext cx="5052060" cy="2804160"/>
            <a:chOff x="1859280" y="845820"/>
            <a:chExt cx="5052060" cy="2804160"/>
          </a:xfrm>
          <a:grpFill/>
        </xdr:grpSpPr>
        <xdr:sp macro="" textlink="">
          <xdr:nvSpPr>
            <xdr:cNvPr id="13" name="Rectangle: Rounded Corners 12">
              <a:extLst>
                <a:ext uri="{FF2B5EF4-FFF2-40B4-BE49-F238E27FC236}">
                  <a16:creationId xmlns:a16="http://schemas.microsoft.com/office/drawing/2014/main" id="{47C793B6-CCFF-F618-E114-44BB59CD69AD}"/>
                </a:ext>
              </a:extLst>
            </xdr:cNvPr>
            <xdr:cNvSpPr/>
          </xdr:nvSpPr>
          <xdr:spPr>
            <a:xfrm>
              <a:off x="1866900" y="861060"/>
              <a:ext cx="5052060" cy="2804160"/>
            </a:xfrm>
            <a:prstGeom prst="roundRect">
              <a:avLst/>
            </a:prstGeom>
            <a:grp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8" name="Picture 17">
              <a:extLst>
                <a:ext uri="{FF2B5EF4-FFF2-40B4-BE49-F238E27FC236}">
                  <a16:creationId xmlns:a16="http://schemas.microsoft.com/office/drawing/2014/main" id="{7FB5F27A-4E81-2EF5-B193-A1989652CD40}"/>
                </a:ext>
              </a:extLst>
            </xdr:cNvPr>
            <xdr:cNvPicPr>
              <a:picLocks noChangeAspect="1"/>
            </xdr:cNvPicPr>
          </xdr:nvPicPr>
          <xdr:blipFill>
            <a:blip xmlns:r="http://schemas.openxmlformats.org/officeDocument/2006/relationships" r:embed="rId2"/>
            <a:stretch>
              <a:fillRect/>
            </a:stretch>
          </xdr:blipFill>
          <xdr:spPr>
            <a:xfrm>
              <a:off x="2689860" y="1012861"/>
              <a:ext cx="3127519" cy="392424"/>
            </a:xfrm>
            <a:prstGeom prst="rect">
              <a:avLst/>
            </a:prstGeom>
            <a:grpFill/>
          </xdr:spPr>
        </xdr:pic>
      </xdr:grpSp>
      <xdr:graphicFrame macro="">
        <xdr:nvGraphicFramePr>
          <xdr:cNvPr id="25" name="Chart 24">
            <a:extLst>
              <a:ext uri="{FF2B5EF4-FFF2-40B4-BE49-F238E27FC236}">
                <a16:creationId xmlns:a16="http://schemas.microsoft.com/office/drawing/2014/main" id="{B5D2080D-C8C8-4C4D-908A-F71DBABC2429}"/>
              </a:ext>
            </a:extLst>
          </xdr:cNvPr>
          <xdr:cNvGraphicFramePr>
            <a:graphicFrameLocks/>
          </xdr:cNvGraphicFramePr>
        </xdr:nvGraphicFramePr>
        <xdr:xfrm>
          <a:off x="2461260" y="998220"/>
          <a:ext cx="3970020" cy="24231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320040</xdr:colOff>
      <xdr:row>4</xdr:row>
      <xdr:rowOff>83820</xdr:rowOff>
    </xdr:from>
    <xdr:to>
      <xdr:col>19</xdr:col>
      <xdr:colOff>487680</xdr:colOff>
      <xdr:row>17</xdr:row>
      <xdr:rowOff>91440</xdr:rowOff>
    </xdr:to>
    <xdr:grpSp>
      <xdr:nvGrpSpPr>
        <xdr:cNvPr id="35" name="Group 34">
          <a:extLst>
            <a:ext uri="{FF2B5EF4-FFF2-40B4-BE49-F238E27FC236}">
              <a16:creationId xmlns:a16="http://schemas.microsoft.com/office/drawing/2014/main" id="{8B6403A4-8C2E-7DE8-46F1-C4AC4572B73B}"/>
            </a:ext>
          </a:extLst>
        </xdr:cNvPr>
        <xdr:cNvGrpSpPr/>
      </xdr:nvGrpSpPr>
      <xdr:grpSpPr>
        <a:xfrm>
          <a:off x="7025640" y="815340"/>
          <a:ext cx="5044440" cy="2385060"/>
          <a:chOff x="7117080" y="845820"/>
          <a:chExt cx="4907280" cy="2781300"/>
        </a:xfrm>
      </xdr:grpSpPr>
      <xdr:sp macro="" textlink="">
        <xdr:nvSpPr>
          <xdr:cNvPr id="14" name="Rectangle: Rounded Corners 13">
            <a:extLst>
              <a:ext uri="{FF2B5EF4-FFF2-40B4-BE49-F238E27FC236}">
                <a16:creationId xmlns:a16="http://schemas.microsoft.com/office/drawing/2014/main" id="{18BAF70D-CA73-4C8E-AAC6-E22E7EECFA21}"/>
              </a:ext>
            </a:extLst>
          </xdr:cNvPr>
          <xdr:cNvSpPr/>
        </xdr:nvSpPr>
        <xdr:spPr>
          <a:xfrm>
            <a:off x="7117080" y="845820"/>
            <a:ext cx="4907280" cy="2781300"/>
          </a:xfrm>
          <a:prstGeom prst="roundRect">
            <a:avLst/>
          </a:prstGeom>
          <a:solidFill>
            <a:schemeClr val="bg2"/>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solidFill>
            </a:endParaRPr>
          </a:p>
        </xdr:txBody>
      </xdr:sp>
      <xdr:graphicFrame macro="">
        <xdr:nvGraphicFramePr>
          <xdr:cNvPr id="26" name="Chart 25">
            <a:extLst>
              <a:ext uri="{FF2B5EF4-FFF2-40B4-BE49-F238E27FC236}">
                <a16:creationId xmlns:a16="http://schemas.microsoft.com/office/drawing/2014/main" id="{AE8C3102-F996-4AE8-AACF-8270F9798EF5}"/>
              </a:ext>
            </a:extLst>
          </xdr:cNvPr>
          <xdr:cNvGraphicFramePr>
            <a:graphicFrameLocks/>
          </xdr:cNvGraphicFramePr>
        </xdr:nvGraphicFramePr>
        <xdr:xfrm>
          <a:off x="7467600" y="981493"/>
          <a:ext cx="4046220" cy="237130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83820</xdr:colOff>
      <xdr:row>17</xdr:row>
      <xdr:rowOff>137160</xdr:rowOff>
    </xdr:from>
    <xdr:to>
      <xdr:col>11</xdr:col>
      <xdr:colOff>266700</xdr:colOff>
      <xdr:row>30</xdr:row>
      <xdr:rowOff>167640</xdr:rowOff>
    </xdr:to>
    <xdr:grpSp>
      <xdr:nvGrpSpPr>
        <xdr:cNvPr id="44" name="Group 43">
          <a:extLst>
            <a:ext uri="{FF2B5EF4-FFF2-40B4-BE49-F238E27FC236}">
              <a16:creationId xmlns:a16="http://schemas.microsoft.com/office/drawing/2014/main" id="{560388A2-417A-549F-0E76-8A7F763E9D3B}"/>
            </a:ext>
          </a:extLst>
        </xdr:cNvPr>
        <xdr:cNvGrpSpPr/>
      </xdr:nvGrpSpPr>
      <xdr:grpSpPr>
        <a:xfrm>
          <a:off x="1912620" y="3246120"/>
          <a:ext cx="5059680" cy="2407920"/>
          <a:chOff x="1927860" y="3749040"/>
          <a:chExt cx="5059680" cy="3025140"/>
        </a:xfrm>
        <a:solidFill>
          <a:schemeClr val="bg2"/>
        </a:solidFill>
      </xdr:grpSpPr>
      <xdr:sp macro="" textlink="">
        <xdr:nvSpPr>
          <xdr:cNvPr id="15" name="Rectangle: Rounded Corners 14">
            <a:extLst>
              <a:ext uri="{FF2B5EF4-FFF2-40B4-BE49-F238E27FC236}">
                <a16:creationId xmlns:a16="http://schemas.microsoft.com/office/drawing/2014/main" id="{A98D2A6E-E632-4F55-94F0-24471668BF79}"/>
              </a:ext>
            </a:extLst>
          </xdr:cNvPr>
          <xdr:cNvSpPr/>
        </xdr:nvSpPr>
        <xdr:spPr>
          <a:xfrm>
            <a:off x="1927860" y="3749040"/>
            <a:ext cx="5059680" cy="3025140"/>
          </a:xfrm>
          <a:prstGeom prst="roundRect">
            <a:avLst/>
          </a:prstGeom>
          <a:grp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5B36C972-3CAA-442A-894B-5CD50F4E65EB}"/>
              </a:ext>
            </a:extLst>
          </xdr:cNvPr>
          <xdr:cNvGraphicFramePr>
            <a:graphicFrameLocks/>
          </xdr:cNvGraphicFramePr>
        </xdr:nvGraphicFramePr>
        <xdr:xfrm>
          <a:off x="2095500" y="3939540"/>
          <a:ext cx="4648200" cy="25527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350520</xdr:colOff>
      <xdr:row>17</xdr:row>
      <xdr:rowOff>144780</xdr:rowOff>
    </xdr:from>
    <xdr:to>
      <xdr:col>19</xdr:col>
      <xdr:colOff>502920</xdr:colOff>
      <xdr:row>31</xdr:row>
      <xdr:rowOff>30480</xdr:rowOff>
    </xdr:to>
    <xdr:grpSp>
      <xdr:nvGrpSpPr>
        <xdr:cNvPr id="43" name="Group 42">
          <a:extLst>
            <a:ext uri="{FF2B5EF4-FFF2-40B4-BE49-F238E27FC236}">
              <a16:creationId xmlns:a16="http://schemas.microsoft.com/office/drawing/2014/main" id="{EBB311F4-8210-AAEB-600C-F5C59CC3C788}"/>
            </a:ext>
          </a:extLst>
        </xdr:cNvPr>
        <xdr:cNvGrpSpPr/>
      </xdr:nvGrpSpPr>
      <xdr:grpSpPr>
        <a:xfrm>
          <a:off x="7056120" y="3253740"/>
          <a:ext cx="5029200" cy="2446020"/>
          <a:chOff x="7094393" y="3617777"/>
          <a:chExt cx="4914900" cy="3108960"/>
        </a:xfrm>
      </xdr:grpSpPr>
      <xdr:sp macro="" textlink="">
        <xdr:nvSpPr>
          <xdr:cNvPr id="16" name="Rectangle: Rounded Corners 15">
            <a:extLst>
              <a:ext uri="{FF2B5EF4-FFF2-40B4-BE49-F238E27FC236}">
                <a16:creationId xmlns:a16="http://schemas.microsoft.com/office/drawing/2014/main" id="{A97DA0F3-A7FE-4358-AE06-9472C740F442}"/>
              </a:ext>
            </a:extLst>
          </xdr:cNvPr>
          <xdr:cNvSpPr/>
        </xdr:nvSpPr>
        <xdr:spPr>
          <a:xfrm>
            <a:off x="7094393" y="3617777"/>
            <a:ext cx="4914900" cy="3108960"/>
          </a:xfrm>
          <a:prstGeom prst="roundRect">
            <a:avLst/>
          </a:prstGeom>
          <a:solidFill>
            <a:schemeClr val="bg2"/>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4C76BD47-04B1-4D65-B945-F8D773907F86}"/>
              </a:ext>
            </a:extLst>
          </xdr:cNvPr>
          <xdr:cNvGraphicFramePr>
            <a:graphicFrameLocks/>
          </xdr:cNvGraphicFramePr>
        </xdr:nvGraphicFramePr>
        <xdr:xfrm>
          <a:off x="7597140" y="3947160"/>
          <a:ext cx="4114800" cy="2743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91440</xdr:colOff>
      <xdr:row>4</xdr:row>
      <xdr:rowOff>68580</xdr:rowOff>
    </xdr:from>
    <xdr:to>
      <xdr:col>2</xdr:col>
      <xdr:colOff>586740</xdr:colOff>
      <xdr:row>9</xdr:row>
      <xdr:rowOff>137160</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EE3E0071-C513-4230-907A-F75EE9F482C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440" y="800100"/>
              <a:ext cx="17145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9</xdr:row>
      <xdr:rowOff>175260</xdr:rowOff>
    </xdr:from>
    <xdr:to>
      <xdr:col>2</xdr:col>
      <xdr:colOff>579120</xdr:colOff>
      <xdr:row>22</xdr:row>
      <xdr:rowOff>30480</xdr:rowOff>
    </xdr:to>
    <mc:AlternateContent xmlns:mc="http://schemas.openxmlformats.org/markup-compatibility/2006" xmlns:a14="http://schemas.microsoft.com/office/drawing/2010/main">
      <mc:Choice Requires="a14">
        <xdr:graphicFrame macro="">
          <xdr:nvGraphicFramePr>
            <xdr:cNvPr id="31" name="Product 1">
              <a:extLst>
                <a:ext uri="{FF2B5EF4-FFF2-40B4-BE49-F238E27FC236}">
                  <a16:creationId xmlns:a16="http://schemas.microsoft.com/office/drawing/2014/main" id="{646FC59D-CB52-42D8-892E-F35B9867DF7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9060" y="1821180"/>
              <a:ext cx="1699260" cy="223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22</xdr:row>
      <xdr:rowOff>91440</xdr:rowOff>
    </xdr:from>
    <xdr:to>
      <xdr:col>2</xdr:col>
      <xdr:colOff>594360</xdr:colOff>
      <xdr:row>34</xdr:row>
      <xdr:rowOff>152400</xdr:rowOff>
    </xdr:to>
    <mc:AlternateContent xmlns:mc="http://schemas.openxmlformats.org/markup-compatibility/2006" xmlns:a14="http://schemas.microsoft.com/office/drawing/2010/main">
      <mc:Choice Requires="a14">
        <xdr:graphicFrame macro="">
          <xdr:nvGraphicFramePr>
            <xdr:cNvPr id="33" name="Country 1">
              <a:extLst>
                <a:ext uri="{FF2B5EF4-FFF2-40B4-BE49-F238E27FC236}">
                  <a16:creationId xmlns:a16="http://schemas.microsoft.com/office/drawing/2014/main" id="{62C700B2-3BFD-4FC7-8E32-356990AC69B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1920" y="4114800"/>
              <a:ext cx="1691640" cy="2255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106680</xdr:colOff>
      <xdr:row>31</xdr:row>
      <xdr:rowOff>114300</xdr:rowOff>
    </xdr:from>
    <xdr:to>
      <xdr:col>19</xdr:col>
      <xdr:colOff>449580</xdr:colOff>
      <xdr:row>49</xdr:row>
      <xdr:rowOff>129540</xdr:rowOff>
    </xdr:to>
    <xdr:grpSp>
      <xdr:nvGrpSpPr>
        <xdr:cNvPr id="5" name="Group 4">
          <a:extLst>
            <a:ext uri="{FF2B5EF4-FFF2-40B4-BE49-F238E27FC236}">
              <a16:creationId xmlns:a16="http://schemas.microsoft.com/office/drawing/2014/main" id="{F6DBC438-5D23-79E5-FC46-51E141352FD6}"/>
            </a:ext>
          </a:extLst>
        </xdr:cNvPr>
        <xdr:cNvGrpSpPr/>
      </xdr:nvGrpSpPr>
      <xdr:grpSpPr>
        <a:xfrm>
          <a:off x="1935480" y="5783580"/>
          <a:ext cx="10096500" cy="3307080"/>
          <a:chOff x="1882140" y="6911340"/>
          <a:chExt cx="10096500" cy="3307080"/>
        </a:xfrm>
        <a:solidFill>
          <a:schemeClr val="bg2"/>
        </a:solidFill>
      </xdr:grpSpPr>
      <xdr:sp macro="" textlink="">
        <xdr:nvSpPr>
          <xdr:cNvPr id="17" name="Rectangle: Rounded Corners 16">
            <a:extLst>
              <a:ext uri="{FF2B5EF4-FFF2-40B4-BE49-F238E27FC236}">
                <a16:creationId xmlns:a16="http://schemas.microsoft.com/office/drawing/2014/main" id="{75E03009-4DDD-4D3C-998F-A6132B47F640}"/>
              </a:ext>
            </a:extLst>
          </xdr:cNvPr>
          <xdr:cNvSpPr/>
        </xdr:nvSpPr>
        <xdr:spPr>
          <a:xfrm>
            <a:off x="1882140" y="6911340"/>
            <a:ext cx="10096500" cy="3307080"/>
          </a:xfrm>
          <a:prstGeom prst="roundRect">
            <a:avLst/>
          </a:prstGeom>
          <a:solidFill>
            <a:schemeClr val="bg2"/>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4" name="Chart 33">
            <a:extLst>
              <a:ext uri="{FF2B5EF4-FFF2-40B4-BE49-F238E27FC236}">
                <a16:creationId xmlns:a16="http://schemas.microsoft.com/office/drawing/2014/main" id="{7C5378F0-D1EB-4899-A9DD-ECE949A38767}"/>
              </a:ext>
            </a:extLst>
          </xdr:cNvPr>
          <xdr:cNvGraphicFramePr>
            <a:graphicFrameLocks/>
          </xdr:cNvGraphicFramePr>
        </xdr:nvGraphicFramePr>
        <xdr:xfrm>
          <a:off x="2278380" y="7155180"/>
          <a:ext cx="9334500" cy="291084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E OCANSEY" refreshedDate="45534.622251620371" createdVersion="8" refreshedVersion="8" minRefreshableVersion="3" recordCount="213" xr:uid="{D9A2D46E-EAC5-4080-9A1F-F0299125881F}">
  <cacheSource type="worksheet">
    <worksheetSource name="Table1"/>
  </cacheSource>
  <cacheFields count="8">
    <cacheField name="Order ID" numFmtId="0">
      <sharedItems containsSemiMixedTypes="0" containsString="0" containsNumber="1" containsInteger="1" minValue="1" maxValue="213" count="21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sharedItems>
    </cacheField>
    <cacheField name="Product" numFmtId="0">
      <sharedItems count="7">
        <s v="Carrots"/>
        <s v="Cabbage"/>
        <s v="Banana"/>
        <s v="Beans"/>
        <s v="Orange"/>
        <s v="Apple"/>
        <s v="Mango"/>
      </sharedItems>
    </cacheField>
    <cacheField name="Category" numFmtId="0">
      <sharedItems count="2">
        <s v="Vegetables"/>
        <s v="Fruit"/>
      </sharedItems>
    </cacheField>
    <cacheField name="Amount" numFmtId="164">
      <sharedItems containsSemiMixedTypes="0" containsString="0" containsNumber="1" containsInteger="1" minValue="107" maxValue="9990" count="213">
        <n v="4270"/>
        <n v="8239"/>
        <n v="617"/>
        <n v="8384"/>
        <n v="2626"/>
        <n v="3610"/>
        <n v="9062"/>
        <n v="6906"/>
        <n v="2417"/>
        <n v="7431"/>
        <n v="8250"/>
        <n v="7012"/>
        <n v="1903"/>
        <n v="2824"/>
        <n v="6946"/>
        <n v="2320"/>
        <n v="2116"/>
        <n v="1135"/>
        <n v="3595"/>
        <n v="1161"/>
        <n v="2256"/>
        <n v="1004"/>
        <n v="3642"/>
        <n v="4582"/>
        <n v="3559"/>
        <n v="5154"/>
        <n v="7388"/>
        <n v="7163"/>
        <n v="5101"/>
        <n v="7602"/>
        <n v="1641"/>
        <n v="8892"/>
        <n v="2060"/>
        <n v="1557"/>
        <n v="6509"/>
        <n v="5718"/>
        <n v="7655"/>
        <n v="9116"/>
        <n v="2795"/>
        <n v="5084"/>
        <n v="8941"/>
        <n v="5341"/>
        <n v="135"/>
        <n v="9400"/>
        <n v="6045"/>
        <n v="5820"/>
        <n v="8887"/>
        <n v="6982"/>
        <n v="4029"/>
        <n v="3665"/>
        <n v="4781"/>
        <n v="3663"/>
        <n v="6331"/>
        <n v="4364"/>
        <n v="607"/>
        <n v="1054"/>
        <n v="7659"/>
        <n v="277"/>
        <n v="235"/>
        <n v="1113"/>
        <n v="1128"/>
        <n v="9231"/>
        <n v="4387"/>
        <n v="2763"/>
        <n v="7898"/>
        <n v="2427"/>
        <n v="8663"/>
        <n v="2789"/>
        <n v="4054"/>
        <n v="2262"/>
        <n v="5600"/>
        <n v="5787"/>
        <n v="6295"/>
        <n v="474"/>
        <n v="4325"/>
        <n v="592"/>
        <n v="4330"/>
        <n v="9405"/>
        <n v="7671"/>
        <n v="5791"/>
        <n v="6007"/>
        <n v="5030"/>
        <n v="6763"/>
        <n v="4248"/>
        <n v="9543"/>
        <n v="2054"/>
        <n v="7094"/>
        <n v="6087"/>
        <n v="4264"/>
        <n v="9333"/>
        <n v="8775"/>
        <n v="2011"/>
        <n v="5632"/>
        <n v="4904"/>
        <n v="1002"/>
        <n v="8141"/>
        <n v="3644"/>
        <n v="1380"/>
        <n v="8354"/>
        <n v="5182"/>
        <n v="2193"/>
        <n v="3647"/>
        <n v="4104"/>
        <n v="7457"/>
        <n v="3767"/>
        <n v="4685"/>
        <n v="3917"/>
        <n v="521"/>
        <n v="5605"/>
        <n v="9630"/>
        <n v="6941"/>
        <n v="7231"/>
        <n v="8891"/>
        <n v="107"/>
        <n v="4243"/>
        <n v="4514"/>
        <n v="5480"/>
        <n v="5002"/>
        <n v="8530"/>
        <n v="4819"/>
        <n v="6343"/>
        <n v="2318"/>
        <n v="220"/>
        <n v="6341"/>
        <n v="330"/>
        <n v="3027"/>
        <n v="850"/>
        <n v="8986"/>
        <n v="3800"/>
        <n v="5751"/>
        <n v="1704"/>
        <n v="7966"/>
        <n v="852"/>
        <n v="8416"/>
        <n v="7144"/>
        <n v="7854"/>
        <n v="859"/>
        <n v="8049"/>
        <n v="2836"/>
        <n v="1743"/>
        <n v="3844"/>
        <n v="7490"/>
        <n v="4483"/>
        <n v="7333"/>
        <n v="7654"/>
        <n v="3944"/>
        <n v="5761"/>
        <n v="6864"/>
        <n v="4016"/>
        <n v="1841"/>
        <n v="424"/>
        <n v="8765"/>
        <n v="5583"/>
        <n v="4390"/>
        <n v="352"/>
        <n v="8489"/>
        <n v="7090"/>
        <n v="7880"/>
        <n v="3861"/>
        <n v="7927"/>
        <n v="6162"/>
        <n v="5523"/>
        <n v="5936"/>
        <n v="7251"/>
        <n v="6187"/>
        <n v="3210"/>
        <n v="682"/>
        <n v="793"/>
        <n v="5346"/>
        <n v="7103"/>
        <n v="4603"/>
        <n v="8160"/>
        <n v="7171"/>
        <n v="3552"/>
        <n v="7273"/>
        <n v="2402"/>
        <n v="1197"/>
        <n v="5015"/>
        <n v="5818"/>
        <n v="4399"/>
        <n v="3011"/>
        <n v="4715"/>
        <n v="5321"/>
        <n v="8894"/>
        <n v="4846"/>
        <n v="284"/>
        <n v="8283"/>
        <n v="9990"/>
        <n v="9014"/>
        <n v="1942"/>
        <n v="7223"/>
        <n v="4673"/>
        <n v="9104"/>
        <n v="6078"/>
        <n v="3278"/>
        <n v="136"/>
        <n v="8377"/>
        <n v="2382"/>
        <n v="8702"/>
        <n v="5021"/>
        <n v="1760"/>
        <n v="4766"/>
        <n v="1541"/>
        <n v="2782"/>
        <n v="2455"/>
        <n v="4512"/>
        <n v="8752"/>
        <n v="9127"/>
        <n v="1777"/>
        <n v="680"/>
        <n v="958"/>
        <n v="2613"/>
        <n v="339"/>
      </sharedItems>
    </cacheField>
    <cacheField name="Date" numFmtId="14">
      <sharedItems containsSemiMixedTypes="0" containsNonDate="0" containsDate="1" containsString="0" minDate="2016-01-06T00:00:00" maxDate="2016-12-31T00:00:00" count="150">
        <d v="2016-01-06T00:00:00"/>
        <d v="2016-01-07T00:00:00"/>
        <d v="2016-01-08T00:00:00"/>
        <d v="2016-01-10T00:00:00"/>
        <d v="2016-01-11T00:00:00"/>
        <d v="2016-01-16T00:00:00"/>
        <d v="2016-01-18T00:00:00"/>
        <d v="2016-01-20T00:00:00"/>
        <d v="2016-01-22T00:00:00"/>
        <d v="2016-01-24T00:00:00"/>
        <d v="2016-01-27T00:00:00"/>
        <d v="2016-01-28T00:00:00"/>
        <d v="2016-01-30T00:00:00"/>
        <d v="2016-02-02T00:00:00"/>
        <d v="2016-02-04T00:00:00"/>
        <d v="2016-02-11T00:00:00"/>
        <d v="2016-02-14T00:00:00"/>
        <d v="2016-02-17T00:00:00"/>
        <d v="2016-02-18T00:00:00"/>
        <d v="2016-02-20T00:00:00"/>
        <d v="2016-02-21T00:00:00"/>
        <d v="2016-02-22T00:00:00"/>
        <d v="2016-02-23T00:00:00"/>
        <d v="2016-02-29T00:00:00"/>
        <d v="2016-03-01T00:00:00"/>
        <d v="2016-03-04T00:00:00"/>
        <d v="2016-03-05T00:00:00"/>
        <d v="2016-03-15T00:00:00"/>
        <d v="2016-03-16T00:00:00"/>
        <d v="2016-03-19T00:00:00"/>
        <d v="2016-03-21T00:00:00"/>
        <d v="2016-03-22T00:00:00"/>
        <d v="2016-03-23T00:00:00"/>
        <d v="2016-03-24T00:00:00"/>
        <d v="2016-03-26T00:00:00"/>
        <d v="2016-03-29T00:00:00"/>
        <d v="2016-03-30T00:00:00"/>
        <d v="2016-04-01T00:00:00"/>
        <d v="2016-04-03T00:00:00"/>
        <d v="2016-04-06T00:00:00"/>
        <d v="2016-04-12T00:00:00"/>
        <d v="2016-04-17T00:00:00"/>
        <d v="2016-04-18T00:00:00"/>
        <d v="2016-04-21T00:00:00"/>
        <d v="2016-04-22T00:00:00"/>
        <d v="2016-04-23T00:00:00"/>
        <d v="2016-04-25T00:00:00"/>
        <d v="2016-04-27T00:00:00"/>
        <d v="2016-04-30T00:00:00"/>
        <d v="2016-05-01T00:00:00"/>
        <d v="2016-05-02T00:00:00"/>
        <d v="2016-05-03T00:00:00"/>
        <d v="2016-05-05T00:00:00"/>
        <d v="2016-05-06T00:00:00"/>
        <d v="2016-05-08T00:00:00"/>
        <d v="2016-05-12T00:00:00"/>
        <d v="2016-05-14T00:00:00"/>
        <d v="2016-05-15T00:00:00"/>
        <d v="2016-05-16T00:00:00"/>
        <d v="2016-05-18T00:00:00"/>
        <d v="2016-05-19T00:00:00"/>
        <d v="2016-05-20T00:00:00"/>
        <d v="2016-05-22T00:00:00"/>
        <d v="2016-05-23T00:00:00"/>
        <d v="2016-05-25T00:00:00"/>
        <d v="2016-05-26T00:00:00"/>
        <d v="2016-05-27T00:00:00"/>
        <d v="2016-05-28T00:00:00"/>
        <d v="2016-05-29T00:00:00"/>
        <d v="2016-05-30T00:00:00"/>
        <d v="2016-06-04T00:00:00"/>
        <d v="2016-06-10T00:00:00"/>
        <d v="2016-06-11T00:00:00"/>
        <d v="2016-06-20T00:00:00"/>
        <d v="2016-06-23T00:00:00"/>
        <d v="2016-06-25T00:00:00"/>
        <d v="2016-06-26T00:00:00"/>
        <d v="2016-06-27T00:00:00"/>
        <d v="2016-07-02T00:00:00"/>
        <d v="2016-07-05T00:00:00"/>
        <d v="2016-07-07T00:00:00"/>
        <d v="2016-07-11T00:00:00"/>
        <d v="2016-07-13T00:00:00"/>
        <d v="2016-07-20T00:00:00"/>
        <d v="2016-07-22T00:00:00"/>
        <d v="2016-07-23T00:00:00"/>
        <d v="2016-07-25T00:00:00"/>
        <d v="2016-07-28T00:00:00"/>
        <d v="2016-07-29T00:00:00"/>
        <d v="2016-07-30T00:00:00"/>
        <d v="2016-07-31T00:00:00"/>
        <d v="2016-08-01T00:00:00"/>
        <d v="2016-08-03T00:00:00"/>
        <d v="2016-08-12T00:00:00"/>
        <d v="2016-08-13T00:00:00"/>
        <d v="2016-08-19T00:00:00"/>
        <d v="2016-08-23T00:00:00"/>
        <d v="2016-08-24T00:00:00"/>
        <d v="2016-08-25T00:00:00"/>
        <d v="2016-08-27T00:00:00"/>
        <d v="2016-08-28T00:00:00"/>
        <d v="2016-08-29T00:00:00"/>
        <d v="2016-09-01T00:00:00"/>
        <d v="2016-09-02T00:00:00"/>
        <d v="2016-09-05T00:00:00"/>
        <d v="2016-09-07T00:00:00"/>
        <d v="2016-09-08T00:00:00"/>
        <d v="2016-09-09T00:00:00"/>
        <d v="2016-09-11T00:00:00"/>
        <d v="2016-09-15T00:00:00"/>
        <d v="2016-09-18T00:00:00"/>
        <d v="2016-09-19T00:00:00"/>
        <d v="2016-09-20T00:00:00"/>
        <d v="2016-09-25T00:00:00"/>
        <d v="2016-09-26T00:00:00"/>
        <d v="2016-09-27T00:00:00"/>
        <d v="2016-09-29T00:00:00"/>
        <d v="2016-10-03T00:00:00"/>
        <d v="2016-10-04T00:00:00"/>
        <d v="2016-10-07T00:00:00"/>
        <d v="2016-10-10T00:00:00"/>
        <d v="2016-10-16T00:00:00"/>
        <d v="2016-10-23T00:00:00"/>
        <d v="2016-10-25T00:00:00"/>
        <d v="2016-10-26T00:00:00"/>
        <d v="2016-11-02T00:00:00"/>
        <d v="2016-11-03T00:00:00"/>
        <d v="2016-11-09T00:00:00"/>
        <d v="2016-11-12T00:00:00"/>
        <d v="2016-11-15T00:00:00"/>
        <d v="2016-11-25T00:00:00"/>
        <d v="2016-11-26T00:00:00"/>
        <d v="2016-11-28T00:00:00"/>
        <d v="2016-11-29T00:00:00"/>
        <d v="2016-11-30T00:00:00"/>
        <d v="2016-12-02T00:00:00"/>
        <d v="2016-12-04T00:00:00"/>
        <d v="2016-12-05T00:00:00"/>
        <d v="2016-12-06T00:00:00"/>
        <d v="2016-12-12T00:00:00"/>
        <d v="2016-12-15T00:00:00"/>
        <d v="2016-12-16T00:00:00"/>
        <d v="2016-12-18T00:00:00"/>
        <d v="2016-12-19T00:00:00"/>
        <d v="2016-12-20T00:00:00"/>
        <d v="2016-12-22T00:00:00"/>
        <d v="2016-12-25T00:00:00"/>
        <d v="2016-12-28T00:00:00"/>
        <d v="2016-12-29T00:00:00"/>
        <d v="2016-12-30T00:00:00"/>
      </sharedItems>
      <fieldGroup par="7"/>
    </cacheField>
    <cacheField name="Country" numFmtId="0">
      <sharedItems count="7">
        <s v="United States"/>
        <s v="United Kingdom"/>
        <s v="Canada"/>
        <s v="Germany"/>
        <s v="Australia"/>
        <s v="New Zealand"/>
        <s v="France"/>
      </sharedItems>
    </cacheField>
    <cacheField name="Days (Date)" numFmtId="0" databaseField="0">
      <fieldGroup base="4">
        <rangePr groupBy="days" startDate="2016-01-06T00:00:00" endDate="2016-12-31T00:00:00"/>
        <groupItems count="368">
          <s v="&lt;1/6/201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16"/>
        </groupItems>
      </fieldGroup>
    </cacheField>
    <cacheField name="Months (Date)" numFmtId="0" databaseField="0">
      <fieldGroup base="4">
        <rangePr groupBy="months" startDate="2016-01-06T00:00:00" endDate="2016-12-31T00:00:00"/>
        <groupItems count="14">
          <s v="&lt;1/6/2016"/>
          <s v="Jan"/>
          <s v="Feb"/>
          <s v="Mar"/>
          <s v="Apr"/>
          <s v="May"/>
          <s v="Jun"/>
          <s v="Jul"/>
          <s v="Aug"/>
          <s v="Sep"/>
          <s v="Oct"/>
          <s v="Nov"/>
          <s v="Dec"/>
          <s v="&gt;12/31/2016"/>
        </groupItems>
      </fieldGroup>
    </cacheField>
  </cacheFields>
  <extLst>
    <ext xmlns:x14="http://schemas.microsoft.com/office/spreadsheetml/2009/9/main" uri="{725AE2AE-9491-48be-B2B4-4EB974FC3084}">
      <x14:pivotCacheDefinition pivotCacheId="1778558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x v="0"/>
    <x v="0"/>
    <x v="0"/>
    <x v="0"/>
  </r>
  <r>
    <x v="1"/>
    <x v="1"/>
    <x v="0"/>
    <x v="1"/>
    <x v="1"/>
    <x v="1"/>
  </r>
  <r>
    <x v="2"/>
    <x v="2"/>
    <x v="1"/>
    <x v="2"/>
    <x v="2"/>
    <x v="0"/>
  </r>
  <r>
    <x v="3"/>
    <x v="2"/>
    <x v="1"/>
    <x v="3"/>
    <x v="3"/>
    <x v="2"/>
  </r>
  <r>
    <x v="4"/>
    <x v="3"/>
    <x v="0"/>
    <x v="4"/>
    <x v="3"/>
    <x v="3"/>
  </r>
  <r>
    <x v="5"/>
    <x v="4"/>
    <x v="1"/>
    <x v="5"/>
    <x v="4"/>
    <x v="0"/>
  </r>
  <r>
    <x v="6"/>
    <x v="1"/>
    <x v="0"/>
    <x v="6"/>
    <x v="4"/>
    <x v="4"/>
  </r>
  <r>
    <x v="7"/>
    <x v="2"/>
    <x v="1"/>
    <x v="7"/>
    <x v="5"/>
    <x v="5"/>
  </r>
  <r>
    <x v="8"/>
    <x v="5"/>
    <x v="1"/>
    <x v="8"/>
    <x v="5"/>
    <x v="6"/>
  </r>
  <r>
    <x v="9"/>
    <x v="5"/>
    <x v="1"/>
    <x v="9"/>
    <x v="5"/>
    <x v="2"/>
  </r>
  <r>
    <x v="10"/>
    <x v="2"/>
    <x v="1"/>
    <x v="10"/>
    <x v="5"/>
    <x v="3"/>
  </r>
  <r>
    <x v="11"/>
    <x v="1"/>
    <x v="0"/>
    <x v="11"/>
    <x v="6"/>
    <x v="0"/>
  </r>
  <r>
    <x v="12"/>
    <x v="0"/>
    <x v="0"/>
    <x v="12"/>
    <x v="7"/>
    <x v="3"/>
  </r>
  <r>
    <x v="13"/>
    <x v="1"/>
    <x v="0"/>
    <x v="13"/>
    <x v="8"/>
    <x v="2"/>
  </r>
  <r>
    <x v="14"/>
    <x v="5"/>
    <x v="1"/>
    <x v="14"/>
    <x v="9"/>
    <x v="6"/>
  </r>
  <r>
    <x v="15"/>
    <x v="2"/>
    <x v="1"/>
    <x v="15"/>
    <x v="10"/>
    <x v="1"/>
  </r>
  <r>
    <x v="16"/>
    <x v="2"/>
    <x v="1"/>
    <x v="16"/>
    <x v="11"/>
    <x v="0"/>
  </r>
  <r>
    <x v="17"/>
    <x v="2"/>
    <x v="1"/>
    <x v="17"/>
    <x v="12"/>
    <x v="1"/>
  </r>
  <r>
    <x v="18"/>
    <x v="1"/>
    <x v="0"/>
    <x v="18"/>
    <x v="12"/>
    <x v="1"/>
  </r>
  <r>
    <x v="19"/>
    <x v="5"/>
    <x v="1"/>
    <x v="19"/>
    <x v="13"/>
    <x v="0"/>
  </r>
  <r>
    <x v="20"/>
    <x v="4"/>
    <x v="1"/>
    <x v="20"/>
    <x v="14"/>
    <x v="6"/>
  </r>
  <r>
    <x v="21"/>
    <x v="2"/>
    <x v="1"/>
    <x v="21"/>
    <x v="15"/>
    <x v="5"/>
  </r>
  <r>
    <x v="22"/>
    <x v="2"/>
    <x v="1"/>
    <x v="22"/>
    <x v="16"/>
    <x v="2"/>
  </r>
  <r>
    <x v="23"/>
    <x v="2"/>
    <x v="1"/>
    <x v="23"/>
    <x v="17"/>
    <x v="0"/>
  </r>
  <r>
    <x v="24"/>
    <x v="3"/>
    <x v="0"/>
    <x v="24"/>
    <x v="17"/>
    <x v="1"/>
  </r>
  <r>
    <x v="25"/>
    <x v="0"/>
    <x v="0"/>
    <x v="25"/>
    <x v="17"/>
    <x v="4"/>
  </r>
  <r>
    <x v="26"/>
    <x v="6"/>
    <x v="1"/>
    <x v="26"/>
    <x v="18"/>
    <x v="6"/>
  </r>
  <r>
    <x v="27"/>
    <x v="3"/>
    <x v="0"/>
    <x v="27"/>
    <x v="18"/>
    <x v="0"/>
  </r>
  <r>
    <x v="28"/>
    <x v="3"/>
    <x v="0"/>
    <x v="28"/>
    <x v="19"/>
    <x v="3"/>
  </r>
  <r>
    <x v="29"/>
    <x v="5"/>
    <x v="1"/>
    <x v="29"/>
    <x v="20"/>
    <x v="6"/>
  </r>
  <r>
    <x v="30"/>
    <x v="6"/>
    <x v="1"/>
    <x v="30"/>
    <x v="21"/>
    <x v="0"/>
  </r>
  <r>
    <x v="31"/>
    <x v="5"/>
    <x v="1"/>
    <x v="31"/>
    <x v="22"/>
    <x v="4"/>
  </r>
  <r>
    <x v="32"/>
    <x v="5"/>
    <x v="1"/>
    <x v="32"/>
    <x v="23"/>
    <x v="6"/>
  </r>
  <r>
    <x v="33"/>
    <x v="1"/>
    <x v="0"/>
    <x v="33"/>
    <x v="23"/>
    <x v="3"/>
  </r>
  <r>
    <x v="34"/>
    <x v="5"/>
    <x v="1"/>
    <x v="34"/>
    <x v="24"/>
    <x v="6"/>
  </r>
  <r>
    <x v="35"/>
    <x v="5"/>
    <x v="1"/>
    <x v="35"/>
    <x v="25"/>
    <x v="4"/>
  </r>
  <r>
    <x v="36"/>
    <x v="5"/>
    <x v="1"/>
    <x v="36"/>
    <x v="26"/>
    <x v="0"/>
  </r>
  <r>
    <x v="37"/>
    <x v="0"/>
    <x v="0"/>
    <x v="37"/>
    <x v="26"/>
    <x v="1"/>
  </r>
  <r>
    <x v="38"/>
    <x v="2"/>
    <x v="1"/>
    <x v="38"/>
    <x v="27"/>
    <x v="0"/>
  </r>
  <r>
    <x v="39"/>
    <x v="2"/>
    <x v="1"/>
    <x v="39"/>
    <x v="27"/>
    <x v="0"/>
  </r>
  <r>
    <x v="40"/>
    <x v="0"/>
    <x v="0"/>
    <x v="40"/>
    <x v="27"/>
    <x v="1"/>
  </r>
  <r>
    <x v="41"/>
    <x v="1"/>
    <x v="0"/>
    <x v="41"/>
    <x v="28"/>
    <x v="6"/>
  </r>
  <r>
    <x v="42"/>
    <x v="2"/>
    <x v="1"/>
    <x v="42"/>
    <x v="29"/>
    <x v="2"/>
  </r>
  <r>
    <x v="43"/>
    <x v="2"/>
    <x v="1"/>
    <x v="43"/>
    <x v="29"/>
    <x v="4"/>
  </r>
  <r>
    <x v="44"/>
    <x v="3"/>
    <x v="0"/>
    <x v="44"/>
    <x v="30"/>
    <x v="3"/>
  </r>
  <r>
    <x v="45"/>
    <x v="5"/>
    <x v="1"/>
    <x v="45"/>
    <x v="31"/>
    <x v="5"/>
  </r>
  <r>
    <x v="46"/>
    <x v="4"/>
    <x v="1"/>
    <x v="46"/>
    <x v="32"/>
    <x v="3"/>
  </r>
  <r>
    <x v="47"/>
    <x v="4"/>
    <x v="1"/>
    <x v="47"/>
    <x v="33"/>
    <x v="0"/>
  </r>
  <r>
    <x v="48"/>
    <x v="2"/>
    <x v="1"/>
    <x v="48"/>
    <x v="34"/>
    <x v="4"/>
  </r>
  <r>
    <x v="49"/>
    <x v="0"/>
    <x v="0"/>
    <x v="49"/>
    <x v="34"/>
    <x v="3"/>
  </r>
  <r>
    <x v="50"/>
    <x v="2"/>
    <x v="1"/>
    <x v="50"/>
    <x v="35"/>
    <x v="6"/>
  </r>
  <r>
    <x v="51"/>
    <x v="6"/>
    <x v="1"/>
    <x v="51"/>
    <x v="36"/>
    <x v="4"/>
  </r>
  <r>
    <x v="52"/>
    <x v="5"/>
    <x v="1"/>
    <x v="52"/>
    <x v="37"/>
    <x v="6"/>
  </r>
  <r>
    <x v="53"/>
    <x v="5"/>
    <x v="1"/>
    <x v="53"/>
    <x v="37"/>
    <x v="2"/>
  </r>
  <r>
    <x v="54"/>
    <x v="0"/>
    <x v="0"/>
    <x v="54"/>
    <x v="38"/>
    <x v="1"/>
  </r>
  <r>
    <x v="55"/>
    <x v="2"/>
    <x v="1"/>
    <x v="55"/>
    <x v="39"/>
    <x v="5"/>
  </r>
  <r>
    <x v="56"/>
    <x v="0"/>
    <x v="0"/>
    <x v="56"/>
    <x v="39"/>
    <x v="0"/>
  </r>
  <r>
    <x v="57"/>
    <x v="1"/>
    <x v="0"/>
    <x v="57"/>
    <x v="40"/>
    <x v="3"/>
  </r>
  <r>
    <x v="58"/>
    <x v="2"/>
    <x v="1"/>
    <x v="58"/>
    <x v="41"/>
    <x v="0"/>
  </r>
  <r>
    <x v="59"/>
    <x v="4"/>
    <x v="1"/>
    <x v="59"/>
    <x v="42"/>
    <x v="4"/>
  </r>
  <r>
    <x v="60"/>
    <x v="5"/>
    <x v="1"/>
    <x v="60"/>
    <x v="43"/>
    <x v="0"/>
  </r>
  <r>
    <x v="61"/>
    <x v="1"/>
    <x v="0"/>
    <x v="61"/>
    <x v="44"/>
    <x v="2"/>
  </r>
  <r>
    <x v="62"/>
    <x v="2"/>
    <x v="1"/>
    <x v="62"/>
    <x v="45"/>
    <x v="0"/>
  </r>
  <r>
    <x v="63"/>
    <x v="5"/>
    <x v="1"/>
    <x v="63"/>
    <x v="46"/>
    <x v="2"/>
  </r>
  <r>
    <x v="64"/>
    <x v="2"/>
    <x v="1"/>
    <x v="64"/>
    <x v="47"/>
    <x v="1"/>
  </r>
  <r>
    <x v="65"/>
    <x v="2"/>
    <x v="1"/>
    <x v="65"/>
    <x v="48"/>
    <x v="6"/>
  </r>
  <r>
    <x v="66"/>
    <x v="2"/>
    <x v="1"/>
    <x v="66"/>
    <x v="49"/>
    <x v="5"/>
  </r>
  <r>
    <x v="67"/>
    <x v="0"/>
    <x v="0"/>
    <x v="67"/>
    <x v="49"/>
    <x v="3"/>
  </r>
  <r>
    <x v="68"/>
    <x v="2"/>
    <x v="1"/>
    <x v="68"/>
    <x v="50"/>
    <x v="0"/>
  </r>
  <r>
    <x v="69"/>
    <x v="6"/>
    <x v="1"/>
    <x v="69"/>
    <x v="50"/>
    <x v="0"/>
  </r>
  <r>
    <x v="70"/>
    <x v="6"/>
    <x v="1"/>
    <x v="70"/>
    <x v="50"/>
    <x v="1"/>
  </r>
  <r>
    <x v="71"/>
    <x v="2"/>
    <x v="1"/>
    <x v="71"/>
    <x v="51"/>
    <x v="0"/>
  </r>
  <r>
    <x v="72"/>
    <x v="4"/>
    <x v="1"/>
    <x v="72"/>
    <x v="51"/>
    <x v="2"/>
  </r>
  <r>
    <x v="73"/>
    <x v="2"/>
    <x v="1"/>
    <x v="73"/>
    <x v="52"/>
    <x v="3"/>
  </r>
  <r>
    <x v="74"/>
    <x v="5"/>
    <x v="1"/>
    <x v="74"/>
    <x v="52"/>
    <x v="6"/>
  </r>
  <r>
    <x v="75"/>
    <x v="2"/>
    <x v="1"/>
    <x v="75"/>
    <x v="53"/>
    <x v="0"/>
  </r>
  <r>
    <x v="76"/>
    <x v="4"/>
    <x v="1"/>
    <x v="76"/>
    <x v="54"/>
    <x v="0"/>
  </r>
  <r>
    <x v="77"/>
    <x v="2"/>
    <x v="1"/>
    <x v="77"/>
    <x v="54"/>
    <x v="1"/>
  </r>
  <r>
    <x v="78"/>
    <x v="5"/>
    <x v="1"/>
    <x v="78"/>
    <x v="54"/>
    <x v="6"/>
  </r>
  <r>
    <x v="79"/>
    <x v="0"/>
    <x v="0"/>
    <x v="79"/>
    <x v="54"/>
    <x v="1"/>
  </r>
  <r>
    <x v="80"/>
    <x v="2"/>
    <x v="1"/>
    <x v="80"/>
    <x v="55"/>
    <x v="2"/>
  </r>
  <r>
    <x v="81"/>
    <x v="2"/>
    <x v="1"/>
    <x v="81"/>
    <x v="56"/>
    <x v="3"/>
  </r>
  <r>
    <x v="82"/>
    <x v="0"/>
    <x v="0"/>
    <x v="82"/>
    <x v="56"/>
    <x v="1"/>
  </r>
  <r>
    <x v="83"/>
    <x v="2"/>
    <x v="1"/>
    <x v="83"/>
    <x v="57"/>
    <x v="4"/>
  </r>
  <r>
    <x v="84"/>
    <x v="2"/>
    <x v="1"/>
    <x v="84"/>
    <x v="58"/>
    <x v="6"/>
  </r>
  <r>
    <x v="85"/>
    <x v="1"/>
    <x v="0"/>
    <x v="85"/>
    <x v="58"/>
    <x v="1"/>
  </r>
  <r>
    <x v="86"/>
    <x v="3"/>
    <x v="0"/>
    <x v="86"/>
    <x v="58"/>
    <x v="3"/>
  </r>
  <r>
    <x v="87"/>
    <x v="0"/>
    <x v="0"/>
    <x v="87"/>
    <x v="59"/>
    <x v="0"/>
  </r>
  <r>
    <x v="88"/>
    <x v="5"/>
    <x v="1"/>
    <x v="88"/>
    <x v="60"/>
    <x v="4"/>
  </r>
  <r>
    <x v="89"/>
    <x v="6"/>
    <x v="1"/>
    <x v="89"/>
    <x v="61"/>
    <x v="0"/>
  </r>
  <r>
    <x v="90"/>
    <x v="6"/>
    <x v="1"/>
    <x v="90"/>
    <x v="62"/>
    <x v="3"/>
  </r>
  <r>
    <x v="91"/>
    <x v="1"/>
    <x v="0"/>
    <x v="91"/>
    <x v="63"/>
    <x v="1"/>
  </r>
  <r>
    <x v="92"/>
    <x v="2"/>
    <x v="1"/>
    <x v="92"/>
    <x v="64"/>
    <x v="0"/>
  </r>
  <r>
    <x v="93"/>
    <x v="2"/>
    <x v="1"/>
    <x v="93"/>
    <x v="64"/>
    <x v="5"/>
  </r>
  <r>
    <x v="94"/>
    <x v="3"/>
    <x v="0"/>
    <x v="94"/>
    <x v="64"/>
    <x v="4"/>
  </r>
  <r>
    <x v="95"/>
    <x v="4"/>
    <x v="1"/>
    <x v="95"/>
    <x v="65"/>
    <x v="1"/>
  </r>
  <r>
    <x v="96"/>
    <x v="4"/>
    <x v="1"/>
    <x v="96"/>
    <x v="65"/>
    <x v="2"/>
  </r>
  <r>
    <x v="97"/>
    <x v="4"/>
    <x v="1"/>
    <x v="97"/>
    <x v="65"/>
    <x v="4"/>
  </r>
  <r>
    <x v="98"/>
    <x v="1"/>
    <x v="0"/>
    <x v="98"/>
    <x v="65"/>
    <x v="3"/>
  </r>
  <r>
    <x v="99"/>
    <x v="2"/>
    <x v="1"/>
    <x v="99"/>
    <x v="66"/>
    <x v="0"/>
  </r>
  <r>
    <x v="100"/>
    <x v="5"/>
    <x v="1"/>
    <x v="100"/>
    <x v="66"/>
    <x v="6"/>
  </r>
  <r>
    <x v="101"/>
    <x v="6"/>
    <x v="1"/>
    <x v="101"/>
    <x v="67"/>
    <x v="0"/>
  </r>
  <r>
    <x v="102"/>
    <x v="5"/>
    <x v="1"/>
    <x v="102"/>
    <x v="67"/>
    <x v="0"/>
  </r>
  <r>
    <x v="103"/>
    <x v="0"/>
    <x v="0"/>
    <x v="103"/>
    <x v="67"/>
    <x v="0"/>
  </r>
  <r>
    <x v="104"/>
    <x v="6"/>
    <x v="1"/>
    <x v="104"/>
    <x v="68"/>
    <x v="2"/>
  </r>
  <r>
    <x v="105"/>
    <x v="1"/>
    <x v="0"/>
    <x v="105"/>
    <x v="69"/>
    <x v="3"/>
  </r>
  <r>
    <x v="106"/>
    <x v="2"/>
    <x v="1"/>
    <x v="106"/>
    <x v="70"/>
    <x v="0"/>
  </r>
  <r>
    <x v="107"/>
    <x v="5"/>
    <x v="1"/>
    <x v="107"/>
    <x v="70"/>
    <x v="2"/>
  </r>
  <r>
    <x v="108"/>
    <x v="5"/>
    <x v="1"/>
    <x v="108"/>
    <x v="71"/>
    <x v="6"/>
  </r>
  <r>
    <x v="109"/>
    <x v="1"/>
    <x v="0"/>
    <x v="109"/>
    <x v="72"/>
    <x v="3"/>
  </r>
  <r>
    <x v="110"/>
    <x v="2"/>
    <x v="1"/>
    <x v="110"/>
    <x v="73"/>
    <x v="2"/>
  </r>
  <r>
    <x v="111"/>
    <x v="1"/>
    <x v="0"/>
    <x v="111"/>
    <x v="73"/>
    <x v="1"/>
  </r>
  <r>
    <x v="112"/>
    <x v="1"/>
    <x v="0"/>
    <x v="112"/>
    <x v="74"/>
    <x v="4"/>
  </r>
  <r>
    <x v="113"/>
    <x v="2"/>
    <x v="1"/>
    <x v="113"/>
    <x v="75"/>
    <x v="6"/>
  </r>
  <r>
    <x v="114"/>
    <x v="2"/>
    <x v="1"/>
    <x v="114"/>
    <x v="76"/>
    <x v="0"/>
  </r>
  <r>
    <x v="115"/>
    <x v="4"/>
    <x v="1"/>
    <x v="115"/>
    <x v="77"/>
    <x v="0"/>
  </r>
  <r>
    <x v="116"/>
    <x v="6"/>
    <x v="1"/>
    <x v="116"/>
    <x v="78"/>
    <x v="0"/>
  </r>
  <r>
    <x v="117"/>
    <x v="2"/>
    <x v="1"/>
    <x v="117"/>
    <x v="78"/>
    <x v="6"/>
  </r>
  <r>
    <x v="118"/>
    <x v="2"/>
    <x v="1"/>
    <x v="118"/>
    <x v="79"/>
    <x v="2"/>
  </r>
  <r>
    <x v="119"/>
    <x v="4"/>
    <x v="1"/>
    <x v="119"/>
    <x v="80"/>
    <x v="5"/>
  </r>
  <r>
    <x v="120"/>
    <x v="1"/>
    <x v="0"/>
    <x v="120"/>
    <x v="81"/>
    <x v="1"/>
  </r>
  <r>
    <x v="121"/>
    <x v="4"/>
    <x v="1"/>
    <x v="121"/>
    <x v="82"/>
    <x v="1"/>
  </r>
  <r>
    <x v="122"/>
    <x v="4"/>
    <x v="1"/>
    <x v="122"/>
    <x v="83"/>
    <x v="1"/>
  </r>
  <r>
    <x v="123"/>
    <x v="4"/>
    <x v="1"/>
    <x v="123"/>
    <x v="83"/>
    <x v="5"/>
  </r>
  <r>
    <x v="124"/>
    <x v="5"/>
    <x v="1"/>
    <x v="124"/>
    <x v="83"/>
    <x v="3"/>
  </r>
  <r>
    <x v="125"/>
    <x v="1"/>
    <x v="0"/>
    <x v="125"/>
    <x v="83"/>
    <x v="1"/>
  </r>
  <r>
    <x v="126"/>
    <x v="4"/>
    <x v="1"/>
    <x v="126"/>
    <x v="84"/>
    <x v="5"/>
  </r>
  <r>
    <x v="127"/>
    <x v="2"/>
    <x v="1"/>
    <x v="127"/>
    <x v="85"/>
    <x v="1"/>
  </r>
  <r>
    <x v="128"/>
    <x v="1"/>
    <x v="0"/>
    <x v="128"/>
    <x v="86"/>
    <x v="0"/>
  </r>
  <r>
    <x v="129"/>
    <x v="0"/>
    <x v="0"/>
    <x v="129"/>
    <x v="87"/>
    <x v="1"/>
  </r>
  <r>
    <x v="130"/>
    <x v="5"/>
    <x v="1"/>
    <x v="130"/>
    <x v="88"/>
    <x v="1"/>
  </r>
  <r>
    <x v="131"/>
    <x v="2"/>
    <x v="1"/>
    <x v="131"/>
    <x v="89"/>
    <x v="4"/>
  </r>
  <r>
    <x v="132"/>
    <x v="2"/>
    <x v="1"/>
    <x v="132"/>
    <x v="90"/>
    <x v="0"/>
  </r>
  <r>
    <x v="133"/>
    <x v="3"/>
    <x v="0"/>
    <x v="133"/>
    <x v="90"/>
    <x v="4"/>
  </r>
  <r>
    <x v="134"/>
    <x v="2"/>
    <x v="1"/>
    <x v="134"/>
    <x v="91"/>
    <x v="6"/>
  </r>
  <r>
    <x v="135"/>
    <x v="1"/>
    <x v="0"/>
    <x v="135"/>
    <x v="91"/>
    <x v="0"/>
  </r>
  <r>
    <x v="136"/>
    <x v="4"/>
    <x v="1"/>
    <x v="136"/>
    <x v="92"/>
    <x v="0"/>
  </r>
  <r>
    <x v="137"/>
    <x v="1"/>
    <x v="0"/>
    <x v="137"/>
    <x v="93"/>
    <x v="0"/>
  </r>
  <r>
    <x v="138"/>
    <x v="2"/>
    <x v="1"/>
    <x v="138"/>
    <x v="94"/>
    <x v="3"/>
  </r>
  <r>
    <x v="139"/>
    <x v="0"/>
    <x v="0"/>
    <x v="139"/>
    <x v="95"/>
    <x v="0"/>
  </r>
  <r>
    <x v="140"/>
    <x v="5"/>
    <x v="1"/>
    <x v="140"/>
    <x v="96"/>
    <x v="6"/>
  </r>
  <r>
    <x v="141"/>
    <x v="5"/>
    <x v="1"/>
    <x v="141"/>
    <x v="97"/>
    <x v="6"/>
  </r>
  <r>
    <x v="142"/>
    <x v="1"/>
    <x v="0"/>
    <x v="142"/>
    <x v="98"/>
    <x v="3"/>
  </r>
  <r>
    <x v="143"/>
    <x v="5"/>
    <x v="1"/>
    <x v="143"/>
    <x v="99"/>
    <x v="2"/>
  </r>
  <r>
    <x v="144"/>
    <x v="0"/>
    <x v="0"/>
    <x v="144"/>
    <x v="100"/>
    <x v="0"/>
  </r>
  <r>
    <x v="145"/>
    <x v="5"/>
    <x v="1"/>
    <x v="145"/>
    <x v="101"/>
    <x v="1"/>
  </r>
  <r>
    <x v="146"/>
    <x v="3"/>
    <x v="0"/>
    <x v="146"/>
    <x v="101"/>
    <x v="3"/>
  </r>
  <r>
    <x v="147"/>
    <x v="2"/>
    <x v="1"/>
    <x v="147"/>
    <x v="102"/>
    <x v="5"/>
  </r>
  <r>
    <x v="148"/>
    <x v="2"/>
    <x v="1"/>
    <x v="148"/>
    <x v="102"/>
    <x v="3"/>
  </r>
  <r>
    <x v="149"/>
    <x v="2"/>
    <x v="1"/>
    <x v="149"/>
    <x v="103"/>
    <x v="0"/>
  </r>
  <r>
    <x v="150"/>
    <x v="2"/>
    <x v="1"/>
    <x v="150"/>
    <x v="104"/>
    <x v="4"/>
  </r>
  <r>
    <x v="151"/>
    <x v="2"/>
    <x v="1"/>
    <x v="151"/>
    <x v="105"/>
    <x v="1"/>
  </r>
  <r>
    <x v="152"/>
    <x v="2"/>
    <x v="1"/>
    <x v="152"/>
    <x v="106"/>
    <x v="0"/>
  </r>
  <r>
    <x v="153"/>
    <x v="1"/>
    <x v="0"/>
    <x v="153"/>
    <x v="107"/>
    <x v="5"/>
  </r>
  <r>
    <x v="154"/>
    <x v="1"/>
    <x v="0"/>
    <x v="154"/>
    <x v="107"/>
    <x v="2"/>
  </r>
  <r>
    <x v="155"/>
    <x v="5"/>
    <x v="1"/>
    <x v="155"/>
    <x v="108"/>
    <x v="0"/>
  </r>
  <r>
    <x v="156"/>
    <x v="2"/>
    <x v="1"/>
    <x v="156"/>
    <x v="108"/>
    <x v="6"/>
  </r>
  <r>
    <x v="157"/>
    <x v="2"/>
    <x v="1"/>
    <x v="157"/>
    <x v="109"/>
    <x v="0"/>
  </r>
  <r>
    <x v="158"/>
    <x v="4"/>
    <x v="1"/>
    <x v="158"/>
    <x v="110"/>
    <x v="0"/>
  </r>
  <r>
    <x v="159"/>
    <x v="1"/>
    <x v="0"/>
    <x v="159"/>
    <x v="111"/>
    <x v="3"/>
  </r>
  <r>
    <x v="160"/>
    <x v="2"/>
    <x v="1"/>
    <x v="160"/>
    <x v="112"/>
    <x v="0"/>
  </r>
  <r>
    <x v="161"/>
    <x v="6"/>
    <x v="1"/>
    <x v="161"/>
    <x v="113"/>
    <x v="4"/>
  </r>
  <r>
    <x v="162"/>
    <x v="1"/>
    <x v="0"/>
    <x v="162"/>
    <x v="113"/>
    <x v="1"/>
  </r>
  <r>
    <x v="163"/>
    <x v="0"/>
    <x v="0"/>
    <x v="163"/>
    <x v="114"/>
    <x v="3"/>
  </r>
  <r>
    <x v="164"/>
    <x v="4"/>
    <x v="1"/>
    <x v="164"/>
    <x v="115"/>
    <x v="4"/>
  </r>
  <r>
    <x v="165"/>
    <x v="2"/>
    <x v="1"/>
    <x v="165"/>
    <x v="116"/>
    <x v="3"/>
  </r>
  <r>
    <x v="166"/>
    <x v="0"/>
    <x v="0"/>
    <x v="166"/>
    <x v="116"/>
    <x v="3"/>
  </r>
  <r>
    <x v="167"/>
    <x v="2"/>
    <x v="1"/>
    <x v="167"/>
    <x v="117"/>
    <x v="4"/>
  </r>
  <r>
    <x v="168"/>
    <x v="0"/>
    <x v="0"/>
    <x v="168"/>
    <x v="118"/>
    <x v="3"/>
  </r>
  <r>
    <x v="169"/>
    <x v="2"/>
    <x v="1"/>
    <x v="169"/>
    <x v="119"/>
    <x v="5"/>
  </r>
  <r>
    <x v="170"/>
    <x v="0"/>
    <x v="0"/>
    <x v="170"/>
    <x v="120"/>
    <x v="0"/>
  </r>
  <r>
    <x v="171"/>
    <x v="5"/>
    <x v="1"/>
    <x v="171"/>
    <x v="121"/>
    <x v="6"/>
  </r>
  <r>
    <x v="172"/>
    <x v="5"/>
    <x v="1"/>
    <x v="172"/>
    <x v="122"/>
    <x v="1"/>
  </r>
  <r>
    <x v="173"/>
    <x v="2"/>
    <x v="1"/>
    <x v="173"/>
    <x v="122"/>
    <x v="5"/>
  </r>
  <r>
    <x v="174"/>
    <x v="2"/>
    <x v="1"/>
    <x v="174"/>
    <x v="123"/>
    <x v="4"/>
  </r>
  <r>
    <x v="175"/>
    <x v="2"/>
    <x v="1"/>
    <x v="175"/>
    <x v="124"/>
    <x v="3"/>
  </r>
  <r>
    <x v="176"/>
    <x v="2"/>
    <x v="1"/>
    <x v="176"/>
    <x v="124"/>
    <x v="4"/>
  </r>
  <r>
    <x v="177"/>
    <x v="3"/>
    <x v="0"/>
    <x v="177"/>
    <x v="124"/>
    <x v="4"/>
  </r>
  <r>
    <x v="178"/>
    <x v="4"/>
    <x v="1"/>
    <x v="178"/>
    <x v="125"/>
    <x v="0"/>
  </r>
  <r>
    <x v="179"/>
    <x v="2"/>
    <x v="1"/>
    <x v="179"/>
    <x v="126"/>
    <x v="1"/>
  </r>
  <r>
    <x v="180"/>
    <x v="0"/>
    <x v="0"/>
    <x v="180"/>
    <x v="126"/>
    <x v="0"/>
  </r>
  <r>
    <x v="181"/>
    <x v="5"/>
    <x v="1"/>
    <x v="181"/>
    <x v="127"/>
    <x v="1"/>
  </r>
  <r>
    <x v="182"/>
    <x v="5"/>
    <x v="1"/>
    <x v="182"/>
    <x v="128"/>
    <x v="6"/>
  </r>
  <r>
    <x v="183"/>
    <x v="2"/>
    <x v="1"/>
    <x v="183"/>
    <x v="129"/>
    <x v="0"/>
  </r>
  <r>
    <x v="184"/>
    <x v="0"/>
    <x v="0"/>
    <x v="184"/>
    <x v="130"/>
    <x v="1"/>
  </r>
  <r>
    <x v="185"/>
    <x v="1"/>
    <x v="0"/>
    <x v="185"/>
    <x v="130"/>
    <x v="3"/>
  </r>
  <r>
    <x v="186"/>
    <x v="4"/>
    <x v="1"/>
    <x v="186"/>
    <x v="131"/>
    <x v="1"/>
  </r>
  <r>
    <x v="187"/>
    <x v="4"/>
    <x v="1"/>
    <x v="187"/>
    <x v="132"/>
    <x v="2"/>
  </r>
  <r>
    <x v="188"/>
    <x v="2"/>
    <x v="1"/>
    <x v="188"/>
    <x v="132"/>
    <x v="4"/>
  </r>
  <r>
    <x v="189"/>
    <x v="5"/>
    <x v="1"/>
    <x v="189"/>
    <x v="133"/>
    <x v="6"/>
  </r>
  <r>
    <x v="190"/>
    <x v="2"/>
    <x v="1"/>
    <x v="190"/>
    <x v="134"/>
    <x v="0"/>
  </r>
  <r>
    <x v="191"/>
    <x v="0"/>
    <x v="0"/>
    <x v="191"/>
    <x v="135"/>
    <x v="0"/>
  </r>
  <r>
    <x v="192"/>
    <x v="0"/>
    <x v="0"/>
    <x v="192"/>
    <x v="136"/>
    <x v="6"/>
  </r>
  <r>
    <x v="193"/>
    <x v="5"/>
    <x v="1"/>
    <x v="193"/>
    <x v="137"/>
    <x v="0"/>
  </r>
  <r>
    <x v="194"/>
    <x v="3"/>
    <x v="0"/>
    <x v="194"/>
    <x v="138"/>
    <x v="3"/>
  </r>
  <r>
    <x v="195"/>
    <x v="2"/>
    <x v="1"/>
    <x v="195"/>
    <x v="139"/>
    <x v="2"/>
  </r>
  <r>
    <x v="196"/>
    <x v="2"/>
    <x v="1"/>
    <x v="196"/>
    <x v="139"/>
    <x v="4"/>
  </r>
  <r>
    <x v="197"/>
    <x v="2"/>
    <x v="1"/>
    <x v="197"/>
    <x v="139"/>
    <x v="0"/>
  </r>
  <r>
    <x v="198"/>
    <x v="2"/>
    <x v="1"/>
    <x v="198"/>
    <x v="140"/>
    <x v="3"/>
  </r>
  <r>
    <x v="199"/>
    <x v="2"/>
    <x v="1"/>
    <x v="199"/>
    <x v="141"/>
    <x v="0"/>
  </r>
  <r>
    <x v="200"/>
    <x v="5"/>
    <x v="1"/>
    <x v="200"/>
    <x v="141"/>
    <x v="4"/>
  </r>
  <r>
    <x v="201"/>
    <x v="2"/>
    <x v="1"/>
    <x v="201"/>
    <x v="142"/>
    <x v="3"/>
  </r>
  <r>
    <x v="202"/>
    <x v="3"/>
    <x v="0"/>
    <x v="202"/>
    <x v="143"/>
    <x v="1"/>
  </r>
  <r>
    <x v="203"/>
    <x v="4"/>
    <x v="1"/>
    <x v="203"/>
    <x v="144"/>
    <x v="1"/>
  </r>
  <r>
    <x v="204"/>
    <x v="5"/>
    <x v="1"/>
    <x v="204"/>
    <x v="144"/>
    <x v="2"/>
  </r>
  <r>
    <x v="205"/>
    <x v="5"/>
    <x v="1"/>
    <x v="205"/>
    <x v="145"/>
    <x v="5"/>
  </r>
  <r>
    <x v="206"/>
    <x v="5"/>
    <x v="1"/>
    <x v="206"/>
    <x v="145"/>
    <x v="3"/>
  </r>
  <r>
    <x v="207"/>
    <x v="0"/>
    <x v="0"/>
    <x v="207"/>
    <x v="146"/>
    <x v="0"/>
  </r>
  <r>
    <x v="208"/>
    <x v="5"/>
    <x v="1"/>
    <x v="208"/>
    <x v="147"/>
    <x v="6"/>
  </r>
  <r>
    <x v="209"/>
    <x v="3"/>
    <x v="0"/>
    <x v="209"/>
    <x v="147"/>
    <x v="6"/>
  </r>
  <r>
    <x v="210"/>
    <x v="4"/>
    <x v="1"/>
    <x v="210"/>
    <x v="148"/>
    <x v="0"/>
  </r>
  <r>
    <x v="211"/>
    <x v="0"/>
    <x v="0"/>
    <x v="211"/>
    <x v="148"/>
    <x v="4"/>
  </r>
  <r>
    <x v="212"/>
    <x v="0"/>
    <x v="0"/>
    <x v="212"/>
    <x v="14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89119D-70F2-45BE-8102-346EB11BFD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4:B17" firstHeaderRow="1" firstDataRow="1" firstDataCol="1"/>
  <pivotFields count="8">
    <pivotField showAll="0"/>
    <pivotField showAll="0">
      <items count="8">
        <item x="5"/>
        <item x="2"/>
        <item x="3"/>
        <item x="1"/>
        <item x="0"/>
        <item x="6"/>
        <item x="4"/>
        <item t="default"/>
      </items>
    </pivotField>
    <pivotField axis="axisRow"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Amount" fld="3" baseField="0" baseItem="0"/>
  </dataFields>
  <chartFormats count="4">
    <chartFormat chart="0" format="0"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2" count="1" selected="0">
            <x v="0"/>
          </reference>
        </references>
      </pivotArea>
    </chartFormat>
    <chartFormat chart="15" format="1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852A4E-AF77-4308-B538-3011617039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10" firstHeaderRow="1" firstDataRow="1" firstDataCol="1"/>
  <pivotFields count="8">
    <pivotField showAll="0"/>
    <pivotField axis="axisRow"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Items count="1">
    <i/>
  </colItem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6A0CBA-1F49-42FF-BFA2-5905ACBE25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4:F22" firstHeaderRow="1" firstDataRow="1" firstDataCol="1"/>
  <pivotFields count="8">
    <pivotField showAll="0"/>
    <pivotField axis="axisRow"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Items count="1">
    <i/>
  </colItems>
  <dataFields count="1">
    <dataField name="Average of Amount" fld="3" subtotal="average" baseField="5"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D3C76F-C9ED-40D3-BE26-F5D37A22BE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F10" firstHeaderRow="1" firstDataRow="1" firstDataCol="1"/>
  <pivotFields count="8">
    <pivotField showAll="0"/>
    <pivotField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6E963A-D283-4173-A857-525CC6A73C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9:D78" firstHeaderRow="1" firstDataRow="2" firstDataCol="1"/>
  <pivotFields count="8">
    <pivotField showAll="0"/>
    <pivotField showAll="0">
      <items count="8">
        <item x="5"/>
        <item x="2"/>
        <item x="3"/>
        <item x="1"/>
        <item x="0"/>
        <item x="6"/>
        <item x="4"/>
        <item t="default"/>
      </items>
    </pivotField>
    <pivotField axis="axisCol" showAll="0">
      <items count="3">
        <item x="1"/>
        <item x="0"/>
        <item t="default"/>
      </items>
    </pivotField>
    <pivotField dataField="1" numFmtId="164" showAll="0">
      <items count="214">
        <item x="113"/>
        <item x="42"/>
        <item x="195"/>
        <item x="122"/>
        <item x="58"/>
        <item x="57"/>
        <item x="185"/>
        <item x="124"/>
        <item x="212"/>
        <item x="154"/>
        <item x="150"/>
        <item x="73"/>
        <item x="107"/>
        <item x="75"/>
        <item x="54"/>
        <item x="2"/>
        <item x="209"/>
        <item x="166"/>
        <item x="167"/>
        <item x="126"/>
        <item x="132"/>
        <item x="136"/>
        <item x="210"/>
        <item x="94"/>
        <item x="21"/>
        <item x="55"/>
        <item x="59"/>
        <item x="60"/>
        <item x="17"/>
        <item x="19"/>
        <item x="176"/>
        <item x="97"/>
        <item x="202"/>
        <item x="33"/>
        <item x="30"/>
        <item x="130"/>
        <item x="139"/>
        <item x="200"/>
        <item x="208"/>
        <item x="149"/>
        <item x="12"/>
        <item x="189"/>
        <item x="91"/>
        <item x="85"/>
        <item x="32"/>
        <item x="16"/>
        <item x="100"/>
        <item x="20"/>
        <item x="69"/>
        <item x="121"/>
        <item x="15"/>
        <item x="197"/>
        <item x="175"/>
        <item x="8"/>
        <item x="65"/>
        <item x="204"/>
        <item x="211"/>
        <item x="4"/>
        <item x="63"/>
        <item x="203"/>
        <item x="67"/>
        <item x="38"/>
        <item x="13"/>
        <item x="138"/>
        <item x="180"/>
        <item x="125"/>
        <item x="165"/>
        <item x="194"/>
        <item x="173"/>
        <item x="24"/>
        <item x="18"/>
        <item x="5"/>
        <item x="22"/>
        <item x="96"/>
        <item x="101"/>
        <item x="51"/>
        <item x="49"/>
        <item x="104"/>
        <item x="128"/>
        <item x="140"/>
        <item x="158"/>
        <item x="106"/>
        <item x="145"/>
        <item x="148"/>
        <item x="48"/>
        <item x="68"/>
        <item x="102"/>
        <item x="114"/>
        <item x="83"/>
        <item x="88"/>
        <item x="0"/>
        <item x="74"/>
        <item x="76"/>
        <item x="53"/>
        <item x="62"/>
        <item x="153"/>
        <item x="179"/>
        <item x="142"/>
        <item x="205"/>
        <item x="115"/>
        <item x="23"/>
        <item x="170"/>
        <item x="191"/>
        <item x="105"/>
        <item x="181"/>
        <item x="201"/>
        <item x="50"/>
        <item x="119"/>
        <item x="184"/>
        <item x="93"/>
        <item x="117"/>
        <item x="177"/>
        <item x="199"/>
        <item x="81"/>
        <item x="39"/>
        <item x="28"/>
        <item x="25"/>
        <item x="99"/>
        <item x="182"/>
        <item x="41"/>
        <item x="168"/>
        <item x="116"/>
        <item x="161"/>
        <item x="152"/>
        <item x="70"/>
        <item x="108"/>
        <item x="92"/>
        <item x="35"/>
        <item x="129"/>
        <item x="146"/>
        <item x="71"/>
        <item x="79"/>
        <item x="178"/>
        <item x="45"/>
        <item x="162"/>
        <item x="80"/>
        <item x="44"/>
        <item x="193"/>
        <item x="87"/>
        <item x="160"/>
        <item x="164"/>
        <item x="72"/>
        <item x="52"/>
        <item x="123"/>
        <item x="120"/>
        <item x="34"/>
        <item x="82"/>
        <item x="147"/>
        <item x="7"/>
        <item x="110"/>
        <item x="14"/>
        <item x="47"/>
        <item x="11"/>
        <item x="156"/>
        <item x="86"/>
        <item x="169"/>
        <item x="134"/>
        <item x="27"/>
        <item x="172"/>
        <item x="190"/>
        <item x="111"/>
        <item x="163"/>
        <item x="174"/>
        <item x="143"/>
        <item x="26"/>
        <item x="9"/>
        <item x="103"/>
        <item x="141"/>
        <item x="29"/>
        <item x="144"/>
        <item x="36"/>
        <item x="56"/>
        <item x="78"/>
        <item x="135"/>
        <item x="157"/>
        <item x="64"/>
        <item x="159"/>
        <item x="131"/>
        <item x="137"/>
        <item x="95"/>
        <item x="171"/>
        <item x="1"/>
        <item x="10"/>
        <item x="186"/>
        <item x="98"/>
        <item x="196"/>
        <item x="3"/>
        <item x="133"/>
        <item x="155"/>
        <item x="118"/>
        <item x="66"/>
        <item x="198"/>
        <item x="206"/>
        <item x="151"/>
        <item x="90"/>
        <item x="46"/>
        <item x="112"/>
        <item x="31"/>
        <item x="183"/>
        <item x="40"/>
        <item x="127"/>
        <item x="188"/>
        <item x="6"/>
        <item x="192"/>
        <item x="37"/>
        <item x="207"/>
        <item x="61"/>
        <item x="89"/>
        <item x="43"/>
        <item x="77"/>
        <item x="84"/>
        <item x="109"/>
        <item x="187"/>
        <item t="default"/>
      </items>
    </pivotField>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8">
        <item x="4"/>
        <item x="2"/>
        <item x="6"/>
        <item x="3"/>
        <item x="5"/>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3">
    <i>
      <x/>
    </i>
    <i>
      <x v="1"/>
    </i>
    <i t="grand">
      <x/>
    </i>
  </colItems>
  <dataFields count="1">
    <dataField name="Sum of Amount" fld="3"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10" format="12" series="1">
      <pivotArea type="data" outline="0" fieldPosition="0">
        <references count="2">
          <reference field="4294967294" count="1" selected="0">
            <x v="0"/>
          </reference>
          <reference field="2" count="1" selected="0">
            <x v="0"/>
          </reference>
        </references>
      </pivotArea>
    </chartFormat>
    <chartFormat chart="10"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EF07FE-4C84-4BDF-9E91-FCD541DE37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6:I65" firstHeaderRow="1" firstDataRow="2" firstDataCol="1"/>
  <pivotFields count="8">
    <pivotField showAll="0"/>
    <pivotField axis="axisRow"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Col" showAll="0">
      <items count="8">
        <item x="4"/>
        <item x="2"/>
        <item x="6"/>
        <item x="3"/>
        <item x="5"/>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i>
    <i>
      <x v="1"/>
    </i>
    <i>
      <x v="2"/>
    </i>
    <i>
      <x v="3"/>
    </i>
    <i>
      <x v="4"/>
    </i>
    <i>
      <x v="5"/>
    </i>
    <i>
      <x v="6"/>
    </i>
    <i t="grand">
      <x/>
    </i>
  </rowItems>
  <colFields count="1">
    <field x="5"/>
  </colFields>
  <colItems count="8">
    <i>
      <x/>
    </i>
    <i>
      <x v="1"/>
    </i>
    <i>
      <x v="2"/>
    </i>
    <i>
      <x v="3"/>
    </i>
    <i>
      <x v="4"/>
    </i>
    <i>
      <x v="5"/>
    </i>
    <i>
      <x v="6"/>
    </i>
    <i t="grand">
      <x/>
    </i>
  </colItems>
  <dataFields count="1">
    <dataField name="Sum of Amount" fld="3" baseField="0" baseItem="0"/>
  </dataField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85B5A4-D30E-40B4-A51A-3A9F431A1BA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8:D52" firstHeaderRow="1" firstDataRow="2" firstDataCol="1"/>
  <pivotFields count="8">
    <pivotField showAll="0"/>
    <pivotField showAll="0">
      <items count="8">
        <item x="5"/>
        <item x="2"/>
        <item x="3"/>
        <item x="1"/>
        <item x="0"/>
        <item x="6"/>
        <item x="4"/>
        <item t="default"/>
      </items>
    </pivotField>
    <pivotField axis="axisCol"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Amount" fld="3" baseField="0" baseItem="0"/>
  </dataFields>
  <chartFormats count="3">
    <chartFormat chart="13" format="21" series="1">
      <pivotArea type="data" outline="0" fieldPosition="0">
        <references count="1">
          <reference field="4294967294" count="1" selected="0">
            <x v="0"/>
          </reference>
        </references>
      </pivotArea>
    </chartFormat>
    <chartFormat chart="13" format="22" series="1">
      <pivotArea type="data" outline="0" fieldPosition="0">
        <references count="2">
          <reference field="4294967294" count="1" selected="0">
            <x v="0"/>
          </reference>
          <reference field="2" count="1" selected="0">
            <x v="1"/>
          </reference>
        </references>
      </pivotArea>
    </chartFormat>
    <chartFormat chart="13" format="2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0430F4-08F7-41B7-86A3-FA719E8AADE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N33" firstHeaderRow="1" firstDataRow="2" firstDataCol="1"/>
  <pivotFields count="8">
    <pivotField showAll="0"/>
    <pivotField axis="axisRow"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i>
    <i>
      <x v="1"/>
    </i>
    <i>
      <x v="2"/>
    </i>
    <i>
      <x v="3"/>
    </i>
    <i>
      <x v="4"/>
    </i>
    <i>
      <x v="5"/>
    </i>
    <i>
      <x v="6"/>
    </i>
    <i t="grand">
      <x/>
    </i>
  </rowItems>
  <colFields count="1">
    <field x="7"/>
  </colFields>
  <colItems count="13">
    <i>
      <x v="1"/>
    </i>
    <i>
      <x v="2"/>
    </i>
    <i>
      <x v="3"/>
    </i>
    <i>
      <x v="4"/>
    </i>
    <i>
      <x v="5"/>
    </i>
    <i>
      <x v="6"/>
    </i>
    <i>
      <x v="7"/>
    </i>
    <i>
      <x v="8"/>
    </i>
    <i>
      <x v="9"/>
    </i>
    <i>
      <x v="10"/>
    </i>
    <i>
      <x v="11"/>
    </i>
    <i>
      <x v="12"/>
    </i>
    <i t="grand">
      <x/>
    </i>
  </colItems>
  <dataFields count="1">
    <dataField name="Sum of Amount" fld="3" baseField="0" baseItem="0"/>
  </dataFields>
  <chartFormats count="12">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0"/>
          </reference>
          <reference field="7" count="1" selected="0">
            <x v="4"/>
          </reference>
        </references>
      </pivotArea>
    </chartFormat>
    <chartFormat chart="0" format="4" series="1">
      <pivotArea type="data" outline="0" fieldPosition="0">
        <references count="2">
          <reference field="4294967294" count="1" selected="0">
            <x v="0"/>
          </reference>
          <reference field="7" count="1" selected="0">
            <x v="5"/>
          </reference>
        </references>
      </pivotArea>
    </chartFormat>
    <chartFormat chart="0" format="5" series="1">
      <pivotArea type="data" outline="0" fieldPosition="0">
        <references count="2">
          <reference field="4294967294" count="1" selected="0">
            <x v="0"/>
          </reference>
          <reference field="7" count="1" selected="0">
            <x v="6"/>
          </reference>
        </references>
      </pivotArea>
    </chartFormat>
    <chartFormat chart="0" format="6" series="1">
      <pivotArea type="data" outline="0" fieldPosition="0">
        <references count="2">
          <reference field="4294967294" count="1" selected="0">
            <x v="0"/>
          </reference>
          <reference field="7" count="1" selected="0">
            <x v="7"/>
          </reference>
        </references>
      </pivotArea>
    </chartFormat>
    <chartFormat chart="0" format="7" series="1">
      <pivotArea type="data" outline="0" fieldPosition="0">
        <references count="2">
          <reference field="4294967294" count="1" selected="0">
            <x v="0"/>
          </reference>
          <reference field="7" count="1" selected="0">
            <x v="8"/>
          </reference>
        </references>
      </pivotArea>
    </chartFormat>
    <chartFormat chart="0" format="8" series="1">
      <pivotArea type="data" outline="0" fieldPosition="0">
        <references count="2">
          <reference field="4294967294" count="1" selected="0">
            <x v="0"/>
          </reference>
          <reference field="7" count="1" selected="0">
            <x v="9"/>
          </reference>
        </references>
      </pivotArea>
    </chartFormat>
    <chartFormat chart="0" format="9" series="1">
      <pivotArea type="data" outline="0" fieldPosition="0">
        <references count="2">
          <reference field="4294967294" count="1" selected="0">
            <x v="0"/>
          </reference>
          <reference field="7" count="1" selected="0">
            <x v="10"/>
          </reference>
        </references>
      </pivotArea>
    </chartFormat>
    <chartFormat chart="0" format="10" series="1">
      <pivotArea type="data" outline="0" fieldPosition="0">
        <references count="2">
          <reference field="4294967294" count="1" selected="0">
            <x v="0"/>
          </reference>
          <reference field="7" count="1" selected="0">
            <x v="11"/>
          </reference>
        </references>
      </pivotArea>
    </chartFormat>
    <chartFormat chart="0" format="11" series="1">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E8E319-6304-472B-879E-9EC7A4D909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I20" firstHeaderRow="1" firstDataRow="2" firstDataCol="1"/>
  <pivotFields count="8">
    <pivotField showAll="0"/>
    <pivotField showAll="0">
      <items count="8">
        <item x="5"/>
        <item x="2"/>
        <item x="3"/>
        <item x="1"/>
        <item x="0"/>
        <item x="6"/>
        <item x="4"/>
        <item t="default"/>
      </items>
    </pivotField>
    <pivotField axis="axisRow"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Col"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Fields count="1">
    <field x="5"/>
  </colFields>
  <colItems count="8">
    <i>
      <x/>
    </i>
    <i>
      <x v="1"/>
    </i>
    <i>
      <x v="2"/>
    </i>
    <i>
      <x v="3"/>
    </i>
    <i>
      <x v="4"/>
    </i>
    <i>
      <x v="5"/>
    </i>
    <i>
      <x v="6"/>
    </i>
    <i t="grand">
      <x/>
    </i>
  </colItems>
  <dataFields count="1">
    <dataField name="Sum of Amount" fld="3" baseField="0" baseItem="0"/>
  </dataField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02BEE1-E51A-47C7-A5FC-606345CBC8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I12" firstHeaderRow="1" firstDataRow="2" firstDataCol="1"/>
  <pivotFields count="8">
    <pivotField showAll="0"/>
    <pivotField axis="axisRow"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Col"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Fields count="1">
    <field x="5"/>
  </colFields>
  <colItems count="8">
    <i>
      <x/>
    </i>
    <i>
      <x v="1"/>
    </i>
    <i>
      <x v="2"/>
    </i>
    <i>
      <x v="3"/>
    </i>
    <i>
      <x v="4"/>
    </i>
    <i>
      <x v="5"/>
    </i>
    <i>
      <x v="6"/>
    </i>
    <i t="grand">
      <x/>
    </i>
  </colItems>
  <dataFields count="1">
    <dataField name="Sum of Amount" fld="3"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11" format="42" series="1">
      <pivotArea type="data" outline="0" fieldPosition="0">
        <references count="2">
          <reference field="4294967294" count="1" selected="0">
            <x v="0"/>
          </reference>
          <reference field="5" count="1" selected="0">
            <x v="0"/>
          </reference>
        </references>
      </pivotArea>
    </chartFormat>
    <chartFormat chart="11" format="43" series="1">
      <pivotArea type="data" outline="0" fieldPosition="0">
        <references count="2">
          <reference field="4294967294" count="1" selected="0">
            <x v="0"/>
          </reference>
          <reference field="5" count="1" selected="0">
            <x v="1"/>
          </reference>
        </references>
      </pivotArea>
    </chartFormat>
    <chartFormat chart="11" format="44" series="1">
      <pivotArea type="data" outline="0" fieldPosition="0">
        <references count="2">
          <reference field="4294967294" count="1" selected="0">
            <x v="0"/>
          </reference>
          <reference field="5" count="1" selected="0">
            <x v="2"/>
          </reference>
        </references>
      </pivotArea>
    </chartFormat>
    <chartFormat chart="11" format="45" series="1">
      <pivotArea type="data" outline="0" fieldPosition="0">
        <references count="2">
          <reference field="4294967294" count="1" selected="0">
            <x v="0"/>
          </reference>
          <reference field="5" count="1" selected="0">
            <x v="3"/>
          </reference>
        </references>
      </pivotArea>
    </chartFormat>
    <chartFormat chart="11" format="46" series="1">
      <pivotArea type="data" outline="0" fieldPosition="0">
        <references count="2">
          <reference field="4294967294" count="1" selected="0">
            <x v="0"/>
          </reference>
          <reference field="5" count="1" selected="0">
            <x v="4"/>
          </reference>
        </references>
      </pivotArea>
    </chartFormat>
    <chartFormat chart="11" format="47" series="1">
      <pivotArea type="data" outline="0" fieldPosition="0">
        <references count="2">
          <reference field="4294967294" count="1" selected="0">
            <x v="0"/>
          </reference>
          <reference field="5" count="1" selected="0">
            <x v="5"/>
          </reference>
        </references>
      </pivotArea>
    </chartFormat>
    <chartFormat chart="11" format="48"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D1396B5-AF8D-42E4-B459-21455F6BF3F9}" sourceName="Product">
  <pivotTables>
    <pivotTable tabId="3" name="PivotTable1"/>
    <pivotTable tabId="3" name="PivotTable2"/>
    <pivotTable tabId="3" name="PivotTable3"/>
    <pivotTable tabId="3" name="PivotTable4"/>
    <pivotTable tabId="4" name="PivotTable10"/>
    <pivotTable tabId="4" name="PivotTable5"/>
    <pivotTable tabId="4" name="PivotTable6"/>
    <pivotTable tabId="4" name="PivotTable7"/>
    <pivotTable tabId="4" name="PivotTable8"/>
    <pivotTable tabId="4" name="PivotTable9"/>
  </pivotTables>
  <data>
    <tabular pivotCacheId="1778558259">
      <items count="7">
        <i x="5" s="1"/>
        <i x="2" s="1"/>
        <i x="3" s="1"/>
        <i x="1"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93C7AF-6865-40FD-87EB-DEA3493CB169}" sourceName="Country">
  <pivotTables>
    <pivotTable tabId="3" name="PivotTable1"/>
    <pivotTable tabId="3" name="PivotTable2"/>
    <pivotTable tabId="3" name="PivotTable3"/>
    <pivotTable tabId="3" name="PivotTable4"/>
    <pivotTable tabId="4" name="PivotTable10"/>
    <pivotTable tabId="4" name="PivotTable5"/>
    <pivotTable tabId="4" name="PivotTable6"/>
    <pivotTable tabId="4" name="PivotTable7"/>
    <pivotTable tabId="4" name="PivotTable8"/>
    <pivotTable tabId="4" name="PivotTable9"/>
  </pivotTables>
  <data>
    <tabular pivotCacheId="1778558259">
      <items count="7">
        <i x="4" s="1"/>
        <i x="2" s="1"/>
        <i x="6" s="1"/>
        <i x="3"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B02DA0-7626-43E0-BD85-1263EF4D858D}" sourceName="Category">
  <pivotTables>
    <pivotTable tabId="3" name="PivotTable1"/>
    <pivotTable tabId="3" name="PivotTable3"/>
    <pivotTable tabId="3" name="PivotTable4"/>
    <pivotTable tabId="4" name="PivotTable10"/>
    <pivotTable tabId="4" name="PivotTable5"/>
    <pivotTable tabId="4" name="PivotTable6"/>
    <pivotTable tabId="4" name="PivotTable7"/>
    <pivotTable tabId="4" name="PivotTable8"/>
    <pivotTable tabId="4" name="PivotTable9"/>
  </pivotTables>
  <data>
    <tabular pivotCacheId="17785582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74F8AAD-5761-4979-B96B-AE66F73E029A}" cache="Slicer_Product" caption="Product" rowHeight="234950"/>
  <slicer name="Country 1" xr10:uid="{D5A7A5DE-A778-4E51-A418-031522E3183D}" cache="Slicer_Country" caption="Country" rowHeight="234950"/>
  <slicer name="Category 1" xr10:uid="{9D03635C-79FE-4641-8F3B-3CF1DE04621D}"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40F56-D06D-4623-ACE5-B5FD14A786F2}" name="Table1" displayName="Table1" ref="A1:F214" totalsRowShown="0" headerRowDxfId="17">
  <autoFilter ref="A1:F214" xr:uid="{0A040F56-D06D-4623-ACE5-B5FD14A786F2}"/>
  <tableColumns count="6">
    <tableColumn id="1" xr3:uid="{487ACF88-865E-48A0-AB1D-EB308DD18870}" name="Order ID"/>
    <tableColumn id="2" xr3:uid="{E327475A-0EC9-4FBD-9F06-2506DE74A03F}" name="Product"/>
    <tableColumn id="3" xr3:uid="{F73FBF68-0244-47DC-A7D7-2F06A3D1E229}" name="Category"/>
    <tableColumn id="4" xr3:uid="{2FE622F1-E2F5-4646-9587-526AF8D73FCA}" name="Amount" dataDxfId="16"/>
    <tableColumn id="5" xr3:uid="{0098E771-5555-40D4-9387-75F4219BA077}" name="Date" dataDxfId="15"/>
    <tableColumn id="6" xr3:uid="{B599B0F0-814D-4A2F-AE88-C5ED24F68136}" name="Countr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804BF8-5C32-4C94-9A89-2739979B2D72}">
  <we:reference id="wa200005502" version="1.0.0.11" store="en-US" storeType="OMEX"/>
  <we:alternateReferences>
    <we:reference id="wa200005502" version="1.0.0.11" store="wa200005502" storeType="OMEX"/>
  </we:alternateReferences>
  <we:properties>
    <we:property name="docId" value="&quot;RE2AlHmgDWVjnE8IW9Iq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E7E6-6B91-4FC8-B9BC-976BC4233D19}">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4"/>
  <sheetViews>
    <sheetView topLeftCell="A35" workbookViewId="0">
      <selection activeCell="B100" sqref="B100"/>
    </sheetView>
  </sheetViews>
  <sheetFormatPr defaultRowHeight="14.4" x14ac:dyDescent="0.3"/>
  <cols>
    <col min="1" max="1" width="8.44140625" bestFit="1" customWidth="1"/>
    <col min="2" max="2" width="8" bestFit="1" customWidth="1"/>
    <col min="3" max="3" width="11" bestFit="1" customWidth="1"/>
    <col min="4" max="4" width="8.109375" bestFit="1" customWidth="1"/>
    <col min="5" max="5" width="10.6640625" bestFit="1" customWidth="1"/>
    <col min="6" max="6" width="15.44140625" bestFit="1" customWidth="1"/>
    <col min="7" max="7" width="10.44140625" customWidth="1"/>
    <col min="8" max="8" width="10.33203125" customWidth="1"/>
  </cols>
  <sheetData>
    <row r="1" spans="1:6" x14ac:dyDescent="0.3">
      <c r="A1" s="1" t="s">
        <v>1</v>
      </c>
      <c r="B1" s="1" t="s">
        <v>2</v>
      </c>
      <c r="C1" s="1" t="s">
        <v>3</v>
      </c>
      <c r="D1" s="1" t="s">
        <v>4</v>
      </c>
      <c r="E1" s="1" t="s">
        <v>7</v>
      </c>
      <c r="F1" s="1" t="s">
        <v>0</v>
      </c>
    </row>
    <row r="2" spans="1:6" x14ac:dyDescent="0.3">
      <c r="A2">
        <v>1</v>
      </c>
      <c r="B2" t="s">
        <v>17</v>
      </c>
      <c r="C2" t="s">
        <v>6</v>
      </c>
      <c r="D2" s="2">
        <v>4270</v>
      </c>
      <c r="E2" s="3">
        <v>42375</v>
      </c>
      <c r="F2" t="s">
        <v>8</v>
      </c>
    </row>
    <row r="3" spans="1:6" x14ac:dyDescent="0.3">
      <c r="A3">
        <v>2</v>
      </c>
      <c r="B3" t="s">
        <v>21</v>
      </c>
      <c r="C3" t="s">
        <v>6</v>
      </c>
      <c r="D3" s="2">
        <v>8239</v>
      </c>
      <c r="E3" s="3">
        <v>42376</v>
      </c>
      <c r="F3" t="s">
        <v>9</v>
      </c>
    </row>
    <row r="4" spans="1:6" x14ac:dyDescent="0.3">
      <c r="A4">
        <v>3</v>
      </c>
      <c r="B4" t="s">
        <v>13</v>
      </c>
      <c r="C4" t="s">
        <v>5</v>
      </c>
      <c r="D4" s="2">
        <v>617</v>
      </c>
      <c r="E4" s="3">
        <v>42377</v>
      </c>
      <c r="F4" t="s">
        <v>8</v>
      </c>
    </row>
    <row r="5" spans="1:6" x14ac:dyDescent="0.3">
      <c r="A5">
        <v>4</v>
      </c>
      <c r="B5" t="s">
        <v>13</v>
      </c>
      <c r="C5" t="s">
        <v>5</v>
      </c>
      <c r="D5" s="2">
        <v>8384</v>
      </c>
      <c r="E5" s="3">
        <v>42379</v>
      </c>
      <c r="F5" t="s">
        <v>10</v>
      </c>
    </row>
    <row r="6" spans="1:6" x14ac:dyDescent="0.3">
      <c r="A6">
        <v>5</v>
      </c>
      <c r="B6" t="s">
        <v>18</v>
      </c>
      <c r="C6" t="s">
        <v>6</v>
      </c>
      <c r="D6" s="2">
        <v>2626</v>
      </c>
      <c r="E6" s="3">
        <v>42379</v>
      </c>
      <c r="F6" t="s">
        <v>12</v>
      </c>
    </row>
    <row r="7" spans="1:6" x14ac:dyDescent="0.3">
      <c r="A7">
        <v>6</v>
      </c>
      <c r="B7" t="s">
        <v>15</v>
      </c>
      <c r="C7" t="s">
        <v>5</v>
      </c>
      <c r="D7" s="2">
        <v>3610</v>
      </c>
      <c r="E7" s="3">
        <v>42380</v>
      </c>
      <c r="F7" t="s">
        <v>8</v>
      </c>
    </row>
    <row r="8" spans="1:6" x14ac:dyDescent="0.3">
      <c r="A8">
        <v>7</v>
      </c>
      <c r="B8" t="s">
        <v>21</v>
      </c>
      <c r="C8" t="s">
        <v>6</v>
      </c>
      <c r="D8" s="2">
        <v>9062</v>
      </c>
      <c r="E8" s="3">
        <v>42380</v>
      </c>
      <c r="F8" t="s">
        <v>11</v>
      </c>
    </row>
    <row r="9" spans="1:6" x14ac:dyDescent="0.3">
      <c r="A9">
        <v>8</v>
      </c>
      <c r="B9" t="s">
        <v>13</v>
      </c>
      <c r="C9" t="s">
        <v>5</v>
      </c>
      <c r="D9" s="2">
        <v>6906</v>
      </c>
      <c r="E9" s="3">
        <v>42385</v>
      </c>
      <c r="F9" t="s">
        <v>20</v>
      </c>
    </row>
    <row r="10" spans="1:6" x14ac:dyDescent="0.3">
      <c r="A10">
        <v>9</v>
      </c>
      <c r="B10" t="s">
        <v>14</v>
      </c>
      <c r="C10" t="s">
        <v>5</v>
      </c>
      <c r="D10" s="2">
        <v>2417</v>
      </c>
      <c r="E10" s="3">
        <v>42385</v>
      </c>
      <c r="F10" t="s">
        <v>19</v>
      </c>
    </row>
    <row r="11" spans="1:6" x14ac:dyDescent="0.3">
      <c r="A11">
        <v>10</v>
      </c>
      <c r="B11" t="s">
        <v>14</v>
      </c>
      <c r="C11" t="s">
        <v>5</v>
      </c>
      <c r="D11" s="2">
        <v>7431</v>
      </c>
      <c r="E11" s="3">
        <v>42385</v>
      </c>
      <c r="F11" t="s">
        <v>10</v>
      </c>
    </row>
    <row r="12" spans="1:6" x14ac:dyDescent="0.3">
      <c r="A12">
        <v>11</v>
      </c>
      <c r="B12" t="s">
        <v>13</v>
      </c>
      <c r="C12" t="s">
        <v>5</v>
      </c>
      <c r="D12" s="2">
        <v>8250</v>
      </c>
      <c r="E12" s="3">
        <v>42385</v>
      </c>
      <c r="F12" t="s">
        <v>12</v>
      </c>
    </row>
    <row r="13" spans="1:6" x14ac:dyDescent="0.3">
      <c r="A13">
        <v>12</v>
      </c>
      <c r="B13" t="s">
        <v>21</v>
      </c>
      <c r="C13" t="s">
        <v>6</v>
      </c>
      <c r="D13" s="2">
        <v>7012</v>
      </c>
      <c r="E13" s="3">
        <v>42387</v>
      </c>
      <c r="F13" t="s">
        <v>8</v>
      </c>
    </row>
    <row r="14" spans="1:6" x14ac:dyDescent="0.3">
      <c r="A14">
        <v>13</v>
      </c>
      <c r="B14" t="s">
        <v>17</v>
      </c>
      <c r="C14" t="s">
        <v>6</v>
      </c>
      <c r="D14" s="2">
        <v>1903</v>
      </c>
      <c r="E14" s="3">
        <v>42389</v>
      </c>
      <c r="F14" t="s">
        <v>12</v>
      </c>
    </row>
    <row r="15" spans="1:6" x14ac:dyDescent="0.3">
      <c r="A15">
        <v>14</v>
      </c>
      <c r="B15" t="s">
        <v>21</v>
      </c>
      <c r="C15" t="s">
        <v>6</v>
      </c>
      <c r="D15" s="2">
        <v>2824</v>
      </c>
      <c r="E15" s="3">
        <v>42391</v>
      </c>
      <c r="F15" t="s">
        <v>10</v>
      </c>
    </row>
    <row r="16" spans="1:6" x14ac:dyDescent="0.3">
      <c r="A16">
        <v>15</v>
      </c>
      <c r="B16" t="s">
        <v>14</v>
      </c>
      <c r="C16" t="s">
        <v>5</v>
      </c>
      <c r="D16" s="2">
        <v>6946</v>
      </c>
      <c r="E16" s="3">
        <v>42393</v>
      </c>
      <c r="F16" t="s">
        <v>19</v>
      </c>
    </row>
    <row r="17" spans="1:6" x14ac:dyDescent="0.3">
      <c r="A17">
        <v>16</v>
      </c>
      <c r="B17" t="s">
        <v>13</v>
      </c>
      <c r="C17" t="s">
        <v>5</v>
      </c>
      <c r="D17" s="2">
        <v>2320</v>
      </c>
      <c r="E17" s="3">
        <v>42396</v>
      </c>
      <c r="F17" t="s">
        <v>9</v>
      </c>
    </row>
    <row r="18" spans="1:6" x14ac:dyDescent="0.3">
      <c r="A18">
        <v>17</v>
      </c>
      <c r="B18" t="s">
        <v>13</v>
      </c>
      <c r="C18" t="s">
        <v>5</v>
      </c>
      <c r="D18" s="2">
        <v>2116</v>
      </c>
      <c r="E18" s="3">
        <v>42397</v>
      </c>
      <c r="F18" t="s">
        <v>8</v>
      </c>
    </row>
    <row r="19" spans="1:6" x14ac:dyDescent="0.3">
      <c r="A19">
        <v>18</v>
      </c>
      <c r="B19" t="s">
        <v>13</v>
      </c>
      <c r="C19" t="s">
        <v>5</v>
      </c>
      <c r="D19" s="2">
        <v>1135</v>
      </c>
      <c r="E19" s="3">
        <v>42399</v>
      </c>
      <c r="F19" t="s">
        <v>9</v>
      </c>
    </row>
    <row r="20" spans="1:6" x14ac:dyDescent="0.3">
      <c r="A20">
        <v>19</v>
      </c>
      <c r="B20" t="s">
        <v>21</v>
      </c>
      <c r="C20" t="s">
        <v>6</v>
      </c>
      <c r="D20" s="2">
        <v>3595</v>
      </c>
      <c r="E20" s="3">
        <v>42399</v>
      </c>
      <c r="F20" t="s">
        <v>9</v>
      </c>
    </row>
    <row r="21" spans="1:6" x14ac:dyDescent="0.3">
      <c r="A21">
        <v>20</v>
      </c>
      <c r="B21" t="s">
        <v>14</v>
      </c>
      <c r="C21" t="s">
        <v>5</v>
      </c>
      <c r="D21" s="2">
        <v>1161</v>
      </c>
      <c r="E21" s="3">
        <v>42402</v>
      </c>
      <c r="F21" t="s">
        <v>8</v>
      </c>
    </row>
    <row r="22" spans="1:6" x14ac:dyDescent="0.3">
      <c r="A22">
        <v>21</v>
      </c>
      <c r="B22" t="s">
        <v>15</v>
      </c>
      <c r="C22" t="s">
        <v>5</v>
      </c>
      <c r="D22" s="2">
        <v>2256</v>
      </c>
      <c r="E22" s="3">
        <v>42404</v>
      </c>
      <c r="F22" t="s">
        <v>19</v>
      </c>
    </row>
    <row r="23" spans="1:6" x14ac:dyDescent="0.3">
      <c r="A23">
        <v>22</v>
      </c>
      <c r="B23" t="s">
        <v>13</v>
      </c>
      <c r="C23" t="s">
        <v>5</v>
      </c>
      <c r="D23" s="2">
        <v>1004</v>
      </c>
      <c r="E23" s="3">
        <v>42411</v>
      </c>
      <c r="F23" t="s">
        <v>20</v>
      </c>
    </row>
    <row r="24" spans="1:6" x14ac:dyDescent="0.3">
      <c r="A24">
        <v>23</v>
      </c>
      <c r="B24" t="s">
        <v>13</v>
      </c>
      <c r="C24" t="s">
        <v>5</v>
      </c>
      <c r="D24" s="2">
        <v>3642</v>
      </c>
      <c r="E24" s="3">
        <v>42414</v>
      </c>
      <c r="F24" t="s">
        <v>10</v>
      </c>
    </row>
    <row r="25" spans="1:6" x14ac:dyDescent="0.3">
      <c r="A25">
        <v>24</v>
      </c>
      <c r="B25" t="s">
        <v>13</v>
      </c>
      <c r="C25" t="s">
        <v>5</v>
      </c>
      <c r="D25" s="2">
        <v>4582</v>
      </c>
      <c r="E25" s="3">
        <v>42417</v>
      </c>
      <c r="F25" t="s">
        <v>8</v>
      </c>
    </row>
    <row r="26" spans="1:6" x14ac:dyDescent="0.3">
      <c r="A26">
        <v>25</v>
      </c>
      <c r="B26" t="s">
        <v>18</v>
      </c>
      <c r="C26" t="s">
        <v>6</v>
      </c>
      <c r="D26" s="2">
        <v>3559</v>
      </c>
      <c r="E26" s="3">
        <v>42417</v>
      </c>
      <c r="F26" t="s">
        <v>9</v>
      </c>
    </row>
    <row r="27" spans="1:6" x14ac:dyDescent="0.3">
      <c r="A27">
        <v>26</v>
      </c>
      <c r="B27" t="s">
        <v>17</v>
      </c>
      <c r="C27" t="s">
        <v>6</v>
      </c>
      <c r="D27" s="2">
        <v>5154</v>
      </c>
      <c r="E27" s="3">
        <v>42417</v>
      </c>
      <c r="F27" t="s">
        <v>11</v>
      </c>
    </row>
    <row r="28" spans="1:6" x14ac:dyDescent="0.3">
      <c r="A28">
        <v>27</v>
      </c>
      <c r="B28" t="s">
        <v>16</v>
      </c>
      <c r="C28" t="s">
        <v>5</v>
      </c>
      <c r="D28" s="2">
        <v>7388</v>
      </c>
      <c r="E28" s="3">
        <v>42418</v>
      </c>
      <c r="F28" t="s">
        <v>19</v>
      </c>
    </row>
    <row r="29" spans="1:6" x14ac:dyDescent="0.3">
      <c r="A29">
        <v>28</v>
      </c>
      <c r="B29" t="s">
        <v>18</v>
      </c>
      <c r="C29" t="s">
        <v>6</v>
      </c>
      <c r="D29" s="2">
        <v>7163</v>
      </c>
      <c r="E29" s="3">
        <v>42418</v>
      </c>
      <c r="F29" t="s">
        <v>8</v>
      </c>
    </row>
    <row r="30" spans="1:6" x14ac:dyDescent="0.3">
      <c r="A30">
        <v>29</v>
      </c>
      <c r="B30" t="s">
        <v>18</v>
      </c>
      <c r="C30" t="s">
        <v>6</v>
      </c>
      <c r="D30" s="2">
        <v>5101</v>
      </c>
      <c r="E30" s="3">
        <v>42420</v>
      </c>
      <c r="F30" t="s">
        <v>12</v>
      </c>
    </row>
    <row r="31" spans="1:6" x14ac:dyDescent="0.3">
      <c r="A31">
        <v>30</v>
      </c>
      <c r="B31" t="s">
        <v>14</v>
      </c>
      <c r="C31" t="s">
        <v>5</v>
      </c>
      <c r="D31" s="2">
        <v>7602</v>
      </c>
      <c r="E31" s="3">
        <v>42421</v>
      </c>
      <c r="F31" t="s">
        <v>19</v>
      </c>
    </row>
    <row r="32" spans="1:6" x14ac:dyDescent="0.3">
      <c r="A32">
        <v>31</v>
      </c>
      <c r="B32" t="s">
        <v>16</v>
      </c>
      <c r="C32" t="s">
        <v>5</v>
      </c>
      <c r="D32" s="2">
        <v>1641</v>
      </c>
      <c r="E32" s="3">
        <v>42422</v>
      </c>
      <c r="F32" t="s">
        <v>8</v>
      </c>
    </row>
    <row r="33" spans="1:6" x14ac:dyDescent="0.3">
      <c r="A33">
        <v>32</v>
      </c>
      <c r="B33" t="s">
        <v>14</v>
      </c>
      <c r="C33" t="s">
        <v>5</v>
      </c>
      <c r="D33" s="2">
        <v>8892</v>
      </c>
      <c r="E33" s="3">
        <v>42423</v>
      </c>
      <c r="F33" t="s">
        <v>11</v>
      </c>
    </row>
    <row r="34" spans="1:6" x14ac:dyDescent="0.3">
      <c r="A34">
        <v>33</v>
      </c>
      <c r="B34" t="s">
        <v>14</v>
      </c>
      <c r="C34" t="s">
        <v>5</v>
      </c>
      <c r="D34" s="2">
        <v>2060</v>
      </c>
      <c r="E34" s="3">
        <v>42429</v>
      </c>
      <c r="F34" t="s">
        <v>19</v>
      </c>
    </row>
    <row r="35" spans="1:6" x14ac:dyDescent="0.3">
      <c r="A35">
        <v>34</v>
      </c>
      <c r="B35" t="s">
        <v>21</v>
      </c>
      <c r="C35" t="s">
        <v>6</v>
      </c>
      <c r="D35" s="2">
        <v>1557</v>
      </c>
      <c r="E35" s="3">
        <v>42429</v>
      </c>
      <c r="F35" t="s">
        <v>12</v>
      </c>
    </row>
    <row r="36" spans="1:6" x14ac:dyDescent="0.3">
      <c r="A36">
        <v>35</v>
      </c>
      <c r="B36" t="s">
        <v>14</v>
      </c>
      <c r="C36" t="s">
        <v>5</v>
      </c>
      <c r="D36" s="2">
        <v>6509</v>
      </c>
      <c r="E36" s="3">
        <v>42430</v>
      </c>
      <c r="F36" t="s">
        <v>19</v>
      </c>
    </row>
    <row r="37" spans="1:6" x14ac:dyDescent="0.3">
      <c r="A37">
        <v>36</v>
      </c>
      <c r="B37" t="s">
        <v>14</v>
      </c>
      <c r="C37" t="s">
        <v>5</v>
      </c>
      <c r="D37" s="2">
        <v>5718</v>
      </c>
      <c r="E37" s="3">
        <v>42433</v>
      </c>
      <c r="F37" t="s">
        <v>11</v>
      </c>
    </row>
    <row r="38" spans="1:6" x14ac:dyDescent="0.3">
      <c r="A38">
        <v>37</v>
      </c>
      <c r="B38" t="s">
        <v>14</v>
      </c>
      <c r="C38" t="s">
        <v>5</v>
      </c>
      <c r="D38" s="2">
        <v>7655</v>
      </c>
      <c r="E38" s="3">
        <v>42434</v>
      </c>
      <c r="F38" t="s">
        <v>8</v>
      </c>
    </row>
    <row r="39" spans="1:6" x14ac:dyDescent="0.3">
      <c r="A39">
        <v>38</v>
      </c>
      <c r="B39" t="s">
        <v>17</v>
      </c>
      <c r="C39" t="s">
        <v>6</v>
      </c>
      <c r="D39" s="2">
        <v>9116</v>
      </c>
      <c r="E39" s="3">
        <v>42434</v>
      </c>
      <c r="F39" t="s">
        <v>9</v>
      </c>
    </row>
    <row r="40" spans="1:6" x14ac:dyDescent="0.3">
      <c r="A40">
        <v>39</v>
      </c>
      <c r="B40" t="s">
        <v>13</v>
      </c>
      <c r="C40" t="s">
        <v>5</v>
      </c>
      <c r="D40" s="2">
        <v>2795</v>
      </c>
      <c r="E40" s="3">
        <v>42444</v>
      </c>
      <c r="F40" t="s">
        <v>8</v>
      </c>
    </row>
    <row r="41" spans="1:6" x14ac:dyDescent="0.3">
      <c r="A41">
        <v>40</v>
      </c>
      <c r="B41" t="s">
        <v>13</v>
      </c>
      <c r="C41" t="s">
        <v>5</v>
      </c>
      <c r="D41" s="2">
        <v>5084</v>
      </c>
      <c r="E41" s="3">
        <v>42444</v>
      </c>
      <c r="F41" t="s">
        <v>8</v>
      </c>
    </row>
    <row r="42" spans="1:6" x14ac:dyDescent="0.3">
      <c r="A42">
        <v>41</v>
      </c>
      <c r="B42" t="s">
        <v>17</v>
      </c>
      <c r="C42" t="s">
        <v>6</v>
      </c>
      <c r="D42" s="2">
        <v>8941</v>
      </c>
      <c r="E42" s="3">
        <v>42444</v>
      </c>
      <c r="F42" t="s">
        <v>9</v>
      </c>
    </row>
    <row r="43" spans="1:6" x14ac:dyDescent="0.3">
      <c r="A43">
        <v>42</v>
      </c>
      <c r="B43" t="s">
        <v>21</v>
      </c>
      <c r="C43" t="s">
        <v>6</v>
      </c>
      <c r="D43" s="2">
        <v>5341</v>
      </c>
      <c r="E43" s="3">
        <v>42445</v>
      </c>
      <c r="F43" t="s">
        <v>19</v>
      </c>
    </row>
    <row r="44" spans="1:6" x14ac:dyDescent="0.3">
      <c r="A44">
        <v>43</v>
      </c>
      <c r="B44" t="s">
        <v>13</v>
      </c>
      <c r="C44" t="s">
        <v>5</v>
      </c>
      <c r="D44" s="2">
        <v>135</v>
      </c>
      <c r="E44" s="3">
        <v>42448</v>
      </c>
      <c r="F44" t="s">
        <v>10</v>
      </c>
    </row>
    <row r="45" spans="1:6" x14ac:dyDescent="0.3">
      <c r="A45">
        <v>44</v>
      </c>
      <c r="B45" t="s">
        <v>13</v>
      </c>
      <c r="C45" t="s">
        <v>5</v>
      </c>
      <c r="D45" s="2">
        <v>9400</v>
      </c>
      <c r="E45" s="3">
        <v>42448</v>
      </c>
      <c r="F45" t="s">
        <v>11</v>
      </c>
    </row>
    <row r="46" spans="1:6" x14ac:dyDescent="0.3">
      <c r="A46">
        <v>45</v>
      </c>
      <c r="B46" t="s">
        <v>18</v>
      </c>
      <c r="C46" t="s">
        <v>6</v>
      </c>
      <c r="D46" s="2">
        <v>6045</v>
      </c>
      <c r="E46" s="3">
        <v>42450</v>
      </c>
      <c r="F46" t="s">
        <v>12</v>
      </c>
    </row>
    <row r="47" spans="1:6" x14ac:dyDescent="0.3">
      <c r="A47">
        <v>46</v>
      </c>
      <c r="B47" t="s">
        <v>14</v>
      </c>
      <c r="C47" t="s">
        <v>5</v>
      </c>
      <c r="D47" s="2">
        <v>5820</v>
      </c>
      <c r="E47" s="3">
        <v>42451</v>
      </c>
      <c r="F47" t="s">
        <v>20</v>
      </c>
    </row>
    <row r="48" spans="1:6" x14ac:dyDescent="0.3">
      <c r="A48">
        <v>47</v>
      </c>
      <c r="B48" t="s">
        <v>15</v>
      </c>
      <c r="C48" t="s">
        <v>5</v>
      </c>
      <c r="D48" s="2">
        <v>8887</v>
      </c>
      <c r="E48" s="3">
        <v>42452</v>
      </c>
      <c r="F48" t="s">
        <v>12</v>
      </c>
    </row>
    <row r="49" spans="1:6" x14ac:dyDescent="0.3">
      <c r="A49">
        <v>48</v>
      </c>
      <c r="B49" t="s">
        <v>15</v>
      </c>
      <c r="C49" t="s">
        <v>5</v>
      </c>
      <c r="D49" s="2">
        <v>6982</v>
      </c>
      <c r="E49" s="3">
        <v>42453</v>
      </c>
      <c r="F49" t="s">
        <v>8</v>
      </c>
    </row>
    <row r="50" spans="1:6" x14ac:dyDescent="0.3">
      <c r="A50">
        <v>49</v>
      </c>
      <c r="B50" t="s">
        <v>13</v>
      </c>
      <c r="C50" t="s">
        <v>5</v>
      </c>
      <c r="D50" s="2">
        <v>4029</v>
      </c>
      <c r="E50" s="3">
        <v>42455</v>
      </c>
      <c r="F50" t="s">
        <v>11</v>
      </c>
    </row>
    <row r="51" spans="1:6" x14ac:dyDescent="0.3">
      <c r="A51">
        <v>50</v>
      </c>
      <c r="B51" t="s">
        <v>17</v>
      </c>
      <c r="C51" t="s">
        <v>6</v>
      </c>
      <c r="D51" s="2">
        <v>3665</v>
      </c>
      <c r="E51" s="3">
        <v>42455</v>
      </c>
      <c r="F51" t="s">
        <v>12</v>
      </c>
    </row>
    <row r="52" spans="1:6" x14ac:dyDescent="0.3">
      <c r="A52">
        <v>51</v>
      </c>
      <c r="B52" t="s">
        <v>13</v>
      </c>
      <c r="C52" t="s">
        <v>5</v>
      </c>
      <c r="D52" s="2">
        <v>4781</v>
      </c>
      <c r="E52" s="3">
        <v>42458</v>
      </c>
      <c r="F52" t="s">
        <v>19</v>
      </c>
    </row>
    <row r="53" spans="1:6" x14ac:dyDescent="0.3">
      <c r="A53">
        <v>52</v>
      </c>
      <c r="B53" t="s">
        <v>16</v>
      </c>
      <c r="C53" t="s">
        <v>5</v>
      </c>
      <c r="D53" s="2">
        <v>3663</v>
      </c>
      <c r="E53" s="3">
        <v>42459</v>
      </c>
      <c r="F53" t="s">
        <v>11</v>
      </c>
    </row>
    <row r="54" spans="1:6" x14ac:dyDescent="0.3">
      <c r="A54">
        <v>53</v>
      </c>
      <c r="B54" t="s">
        <v>14</v>
      </c>
      <c r="C54" t="s">
        <v>5</v>
      </c>
      <c r="D54" s="2">
        <v>6331</v>
      </c>
      <c r="E54" s="3">
        <v>42461</v>
      </c>
      <c r="F54" t="s">
        <v>19</v>
      </c>
    </row>
    <row r="55" spans="1:6" x14ac:dyDescent="0.3">
      <c r="A55">
        <v>54</v>
      </c>
      <c r="B55" t="s">
        <v>14</v>
      </c>
      <c r="C55" t="s">
        <v>5</v>
      </c>
      <c r="D55" s="2">
        <v>4364</v>
      </c>
      <c r="E55" s="3">
        <v>42461</v>
      </c>
      <c r="F55" t="s">
        <v>10</v>
      </c>
    </row>
    <row r="56" spans="1:6" x14ac:dyDescent="0.3">
      <c r="A56">
        <v>55</v>
      </c>
      <c r="B56" t="s">
        <v>17</v>
      </c>
      <c r="C56" t="s">
        <v>6</v>
      </c>
      <c r="D56" s="2">
        <v>607</v>
      </c>
      <c r="E56" s="3">
        <v>42463</v>
      </c>
      <c r="F56" t="s">
        <v>9</v>
      </c>
    </row>
    <row r="57" spans="1:6" x14ac:dyDescent="0.3">
      <c r="A57">
        <v>56</v>
      </c>
      <c r="B57" t="s">
        <v>13</v>
      </c>
      <c r="C57" t="s">
        <v>5</v>
      </c>
      <c r="D57" s="2">
        <v>1054</v>
      </c>
      <c r="E57" s="3">
        <v>42466</v>
      </c>
      <c r="F57" t="s">
        <v>20</v>
      </c>
    </row>
    <row r="58" spans="1:6" x14ac:dyDescent="0.3">
      <c r="A58">
        <v>57</v>
      </c>
      <c r="B58" t="s">
        <v>17</v>
      </c>
      <c r="C58" t="s">
        <v>6</v>
      </c>
      <c r="D58" s="2">
        <v>7659</v>
      </c>
      <c r="E58" s="3">
        <v>42466</v>
      </c>
      <c r="F58" t="s">
        <v>8</v>
      </c>
    </row>
    <row r="59" spans="1:6" x14ac:dyDescent="0.3">
      <c r="A59">
        <v>58</v>
      </c>
      <c r="B59" t="s">
        <v>21</v>
      </c>
      <c r="C59" t="s">
        <v>6</v>
      </c>
      <c r="D59" s="2">
        <v>277</v>
      </c>
      <c r="E59" s="3">
        <v>42472</v>
      </c>
      <c r="F59" t="s">
        <v>12</v>
      </c>
    </row>
    <row r="60" spans="1:6" x14ac:dyDescent="0.3">
      <c r="A60">
        <v>59</v>
      </c>
      <c r="B60" t="s">
        <v>13</v>
      </c>
      <c r="C60" t="s">
        <v>5</v>
      </c>
      <c r="D60" s="2">
        <v>235</v>
      </c>
      <c r="E60" s="3">
        <v>42477</v>
      </c>
      <c r="F60" t="s">
        <v>8</v>
      </c>
    </row>
    <row r="61" spans="1:6" x14ac:dyDescent="0.3">
      <c r="A61">
        <v>60</v>
      </c>
      <c r="B61" t="s">
        <v>15</v>
      </c>
      <c r="C61" t="s">
        <v>5</v>
      </c>
      <c r="D61" s="2">
        <v>1113</v>
      </c>
      <c r="E61" s="3">
        <v>42478</v>
      </c>
      <c r="F61" t="s">
        <v>11</v>
      </c>
    </row>
    <row r="62" spans="1:6" x14ac:dyDescent="0.3">
      <c r="A62">
        <v>61</v>
      </c>
      <c r="B62" t="s">
        <v>14</v>
      </c>
      <c r="C62" t="s">
        <v>5</v>
      </c>
      <c r="D62" s="2">
        <v>1128</v>
      </c>
      <c r="E62" s="3">
        <v>42481</v>
      </c>
      <c r="F62" t="s">
        <v>8</v>
      </c>
    </row>
    <row r="63" spans="1:6" x14ac:dyDescent="0.3">
      <c r="A63">
        <v>62</v>
      </c>
      <c r="B63" t="s">
        <v>21</v>
      </c>
      <c r="C63" t="s">
        <v>6</v>
      </c>
      <c r="D63" s="2">
        <v>9231</v>
      </c>
      <c r="E63" s="3">
        <v>42482</v>
      </c>
      <c r="F63" t="s">
        <v>10</v>
      </c>
    </row>
    <row r="64" spans="1:6" x14ac:dyDescent="0.3">
      <c r="A64">
        <v>63</v>
      </c>
      <c r="B64" t="s">
        <v>13</v>
      </c>
      <c r="C64" t="s">
        <v>5</v>
      </c>
      <c r="D64" s="2">
        <v>4387</v>
      </c>
      <c r="E64" s="3">
        <v>42483</v>
      </c>
      <c r="F64" t="s">
        <v>8</v>
      </c>
    </row>
    <row r="65" spans="1:6" x14ac:dyDescent="0.3">
      <c r="A65">
        <v>64</v>
      </c>
      <c r="B65" t="s">
        <v>14</v>
      </c>
      <c r="C65" t="s">
        <v>5</v>
      </c>
      <c r="D65" s="2">
        <v>2763</v>
      </c>
      <c r="E65" s="3">
        <v>42485</v>
      </c>
      <c r="F65" t="s">
        <v>10</v>
      </c>
    </row>
    <row r="66" spans="1:6" x14ac:dyDescent="0.3">
      <c r="A66">
        <v>65</v>
      </c>
      <c r="B66" t="s">
        <v>13</v>
      </c>
      <c r="C66" t="s">
        <v>5</v>
      </c>
      <c r="D66" s="2">
        <v>7898</v>
      </c>
      <c r="E66" s="3">
        <v>42487</v>
      </c>
      <c r="F66" t="s">
        <v>9</v>
      </c>
    </row>
    <row r="67" spans="1:6" x14ac:dyDescent="0.3">
      <c r="A67">
        <v>66</v>
      </c>
      <c r="B67" t="s">
        <v>13</v>
      </c>
      <c r="C67" t="s">
        <v>5</v>
      </c>
      <c r="D67" s="2">
        <v>2427</v>
      </c>
      <c r="E67" s="3">
        <v>42490</v>
      </c>
      <c r="F67" t="s">
        <v>19</v>
      </c>
    </row>
    <row r="68" spans="1:6" x14ac:dyDescent="0.3">
      <c r="A68">
        <v>67</v>
      </c>
      <c r="B68" t="s">
        <v>13</v>
      </c>
      <c r="C68" t="s">
        <v>5</v>
      </c>
      <c r="D68" s="2">
        <v>8663</v>
      </c>
      <c r="E68" s="3">
        <v>42491</v>
      </c>
      <c r="F68" t="s">
        <v>20</v>
      </c>
    </row>
    <row r="69" spans="1:6" x14ac:dyDescent="0.3">
      <c r="A69">
        <v>68</v>
      </c>
      <c r="B69" t="s">
        <v>17</v>
      </c>
      <c r="C69" t="s">
        <v>6</v>
      </c>
      <c r="D69" s="2">
        <v>2789</v>
      </c>
      <c r="E69" s="3">
        <v>42491</v>
      </c>
      <c r="F69" t="s">
        <v>12</v>
      </c>
    </row>
    <row r="70" spans="1:6" x14ac:dyDescent="0.3">
      <c r="A70">
        <v>69</v>
      </c>
      <c r="B70" t="s">
        <v>13</v>
      </c>
      <c r="C70" t="s">
        <v>5</v>
      </c>
      <c r="D70" s="2">
        <v>4054</v>
      </c>
      <c r="E70" s="3">
        <v>42492</v>
      </c>
      <c r="F70" t="s">
        <v>8</v>
      </c>
    </row>
    <row r="71" spans="1:6" x14ac:dyDescent="0.3">
      <c r="A71">
        <v>70</v>
      </c>
      <c r="B71" t="s">
        <v>16</v>
      </c>
      <c r="C71" t="s">
        <v>5</v>
      </c>
      <c r="D71" s="2">
        <v>2262</v>
      </c>
      <c r="E71" s="3">
        <v>42492</v>
      </c>
      <c r="F71" t="s">
        <v>8</v>
      </c>
    </row>
    <row r="72" spans="1:6" x14ac:dyDescent="0.3">
      <c r="A72">
        <v>71</v>
      </c>
      <c r="B72" t="s">
        <v>16</v>
      </c>
      <c r="C72" t="s">
        <v>5</v>
      </c>
      <c r="D72" s="2">
        <v>5600</v>
      </c>
      <c r="E72" s="3">
        <v>42492</v>
      </c>
      <c r="F72" t="s">
        <v>9</v>
      </c>
    </row>
    <row r="73" spans="1:6" x14ac:dyDescent="0.3">
      <c r="A73">
        <v>72</v>
      </c>
      <c r="B73" t="s">
        <v>13</v>
      </c>
      <c r="C73" t="s">
        <v>5</v>
      </c>
      <c r="D73" s="2">
        <v>5787</v>
      </c>
      <c r="E73" s="3">
        <v>42493</v>
      </c>
      <c r="F73" t="s">
        <v>8</v>
      </c>
    </row>
    <row r="74" spans="1:6" x14ac:dyDescent="0.3">
      <c r="A74">
        <v>73</v>
      </c>
      <c r="B74" t="s">
        <v>15</v>
      </c>
      <c r="C74" t="s">
        <v>5</v>
      </c>
      <c r="D74" s="2">
        <v>6295</v>
      </c>
      <c r="E74" s="3">
        <v>42493</v>
      </c>
      <c r="F74" t="s">
        <v>10</v>
      </c>
    </row>
    <row r="75" spans="1:6" x14ac:dyDescent="0.3">
      <c r="A75">
        <v>74</v>
      </c>
      <c r="B75" t="s">
        <v>13</v>
      </c>
      <c r="C75" t="s">
        <v>5</v>
      </c>
      <c r="D75" s="2">
        <v>474</v>
      </c>
      <c r="E75" s="3">
        <v>42495</v>
      </c>
      <c r="F75" t="s">
        <v>12</v>
      </c>
    </row>
    <row r="76" spans="1:6" x14ac:dyDescent="0.3">
      <c r="A76">
        <v>75</v>
      </c>
      <c r="B76" t="s">
        <v>14</v>
      </c>
      <c r="C76" t="s">
        <v>5</v>
      </c>
      <c r="D76" s="2">
        <v>4325</v>
      </c>
      <c r="E76" s="3">
        <v>42495</v>
      </c>
      <c r="F76" t="s">
        <v>19</v>
      </c>
    </row>
    <row r="77" spans="1:6" x14ac:dyDescent="0.3">
      <c r="A77">
        <v>76</v>
      </c>
      <c r="B77" t="s">
        <v>13</v>
      </c>
      <c r="C77" t="s">
        <v>5</v>
      </c>
      <c r="D77" s="2">
        <v>592</v>
      </c>
      <c r="E77" s="3">
        <v>42496</v>
      </c>
      <c r="F77" t="s">
        <v>8</v>
      </c>
    </row>
    <row r="78" spans="1:6" x14ac:dyDescent="0.3">
      <c r="A78">
        <v>77</v>
      </c>
      <c r="B78" t="s">
        <v>15</v>
      </c>
      <c r="C78" t="s">
        <v>5</v>
      </c>
      <c r="D78" s="2">
        <v>4330</v>
      </c>
      <c r="E78" s="3">
        <v>42498</v>
      </c>
      <c r="F78" t="s">
        <v>8</v>
      </c>
    </row>
    <row r="79" spans="1:6" x14ac:dyDescent="0.3">
      <c r="A79">
        <v>78</v>
      </c>
      <c r="B79" t="s">
        <v>13</v>
      </c>
      <c r="C79" t="s">
        <v>5</v>
      </c>
      <c r="D79" s="2">
        <v>9405</v>
      </c>
      <c r="E79" s="3">
        <v>42498</v>
      </c>
      <c r="F79" t="s">
        <v>9</v>
      </c>
    </row>
    <row r="80" spans="1:6" x14ac:dyDescent="0.3">
      <c r="A80">
        <v>79</v>
      </c>
      <c r="B80" t="s">
        <v>14</v>
      </c>
      <c r="C80" t="s">
        <v>5</v>
      </c>
      <c r="D80" s="2">
        <v>7671</v>
      </c>
      <c r="E80" s="3">
        <v>42498</v>
      </c>
      <c r="F80" t="s">
        <v>19</v>
      </c>
    </row>
    <row r="81" spans="1:6" x14ac:dyDescent="0.3">
      <c r="A81">
        <v>80</v>
      </c>
      <c r="B81" t="s">
        <v>17</v>
      </c>
      <c r="C81" t="s">
        <v>6</v>
      </c>
      <c r="D81" s="2">
        <v>5791</v>
      </c>
      <c r="E81" s="3">
        <v>42498</v>
      </c>
      <c r="F81" t="s">
        <v>9</v>
      </c>
    </row>
    <row r="82" spans="1:6" x14ac:dyDescent="0.3">
      <c r="A82">
        <v>81</v>
      </c>
      <c r="B82" t="s">
        <v>13</v>
      </c>
      <c r="C82" t="s">
        <v>5</v>
      </c>
      <c r="D82" s="2">
        <v>6007</v>
      </c>
      <c r="E82" s="3">
        <v>42502</v>
      </c>
      <c r="F82" t="s">
        <v>10</v>
      </c>
    </row>
    <row r="83" spans="1:6" x14ac:dyDescent="0.3">
      <c r="A83">
        <v>82</v>
      </c>
      <c r="B83" t="s">
        <v>13</v>
      </c>
      <c r="C83" t="s">
        <v>5</v>
      </c>
      <c r="D83" s="2">
        <v>5030</v>
      </c>
      <c r="E83" s="3">
        <v>42504</v>
      </c>
      <c r="F83" t="s">
        <v>12</v>
      </c>
    </row>
    <row r="84" spans="1:6" x14ac:dyDescent="0.3">
      <c r="A84">
        <v>83</v>
      </c>
      <c r="B84" t="s">
        <v>17</v>
      </c>
      <c r="C84" t="s">
        <v>6</v>
      </c>
      <c r="D84" s="2">
        <v>6763</v>
      </c>
      <c r="E84" s="3">
        <v>42504</v>
      </c>
      <c r="F84" t="s">
        <v>9</v>
      </c>
    </row>
    <row r="85" spans="1:6" x14ac:dyDescent="0.3">
      <c r="A85">
        <v>84</v>
      </c>
      <c r="B85" t="s">
        <v>13</v>
      </c>
      <c r="C85" t="s">
        <v>5</v>
      </c>
      <c r="D85" s="2">
        <v>4248</v>
      </c>
      <c r="E85" s="3">
        <v>42505</v>
      </c>
      <c r="F85" t="s">
        <v>11</v>
      </c>
    </row>
    <row r="86" spans="1:6" x14ac:dyDescent="0.3">
      <c r="A86">
        <v>85</v>
      </c>
      <c r="B86" t="s">
        <v>13</v>
      </c>
      <c r="C86" t="s">
        <v>5</v>
      </c>
      <c r="D86" s="2">
        <v>9543</v>
      </c>
      <c r="E86" s="3">
        <v>42506</v>
      </c>
      <c r="F86" t="s">
        <v>19</v>
      </c>
    </row>
    <row r="87" spans="1:6" x14ac:dyDescent="0.3">
      <c r="A87">
        <v>86</v>
      </c>
      <c r="B87" t="s">
        <v>21</v>
      </c>
      <c r="C87" t="s">
        <v>6</v>
      </c>
      <c r="D87" s="2">
        <v>2054</v>
      </c>
      <c r="E87" s="3">
        <v>42506</v>
      </c>
      <c r="F87" t="s">
        <v>9</v>
      </c>
    </row>
    <row r="88" spans="1:6" x14ac:dyDescent="0.3">
      <c r="A88">
        <v>87</v>
      </c>
      <c r="B88" t="s">
        <v>18</v>
      </c>
      <c r="C88" t="s">
        <v>6</v>
      </c>
      <c r="D88" s="2">
        <v>7094</v>
      </c>
      <c r="E88" s="3">
        <v>42506</v>
      </c>
      <c r="F88" t="s">
        <v>12</v>
      </c>
    </row>
    <row r="89" spans="1:6" x14ac:dyDescent="0.3">
      <c r="A89">
        <v>88</v>
      </c>
      <c r="B89" t="s">
        <v>17</v>
      </c>
      <c r="C89" t="s">
        <v>6</v>
      </c>
      <c r="D89" s="2">
        <v>6087</v>
      </c>
      <c r="E89" s="3">
        <v>42508</v>
      </c>
      <c r="F89" t="s">
        <v>8</v>
      </c>
    </row>
    <row r="90" spans="1:6" x14ac:dyDescent="0.3">
      <c r="A90">
        <v>89</v>
      </c>
      <c r="B90" t="s">
        <v>14</v>
      </c>
      <c r="C90" t="s">
        <v>5</v>
      </c>
      <c r="D90" s="2">
        <v>4264</v>
      </c>
      <c r="E90" s="3">
        <v>42509</v>
      </c>
      <c r="F90" t="s">
        <v>11</v>
      </c>
    </row>
    <row r="91" spans="1:6" x14ac:dyDescent="0.3">
      <c r="A91">
        <v>90</v>
      </c>
      <c r="B91" t="s">
        <v>16</v>
      </c>
      <c r="C91" t="s">
        <v>5</v>
      </c>
      <c r="D91" s="2">
        <v>9333</v>
      </c>
      <c r="E91" s="3">
        <v>42510</v>
      </c>
      <c r="F91" t="s">
        <v>8</v>
      </c>
    </row>
    <row r="92" spans="1:6" x14ac:dyDescent="0.3">
      <c r="A92">
        <v>91</v>
      </c>
      <c r="B92" t="s">
        <v>16</v>
      </c>
      <c r="C92" t="s">
        <v>5</v>
      </c>
      <c r="D92" s="2">
        <v>8775</v>
      </c>
      <c r="E92" s="3">
        <v>42512</v>
      </c>
      <c r="F92" t="s">
        <v>12</v>
      </c>
    </row>
    <row r="93" spans="1:6" x14ac:dyDescent="0.3">
      <c r="A93">
        <v>92</v>
      </c>
      <c r="B93" t="s">
        <v>21</v>
      </c>
      <c r="C93" t="s">
        <v>6</v>
      </c>
      <c r="D93" s="2">
        <v>2011</v>
      </c>
      <c r="E93" s="3">
        <v>42513</v>
      </c>
      <c r="F93" t="s">
        <v>9</v>
      </c>
    </row>
    <row r="94" spans="1:6" x14ac:dyDescent="0.3">
      <c r="A94">
        <v>93</v>
      </c>
      <c r="B94" t="s">
        <v>13</v>
      </c>
      <c r="C94" t="s">
        <v>5</v>
      </c>
      <c r="D94" s="2">
        <v>5632</v>
      </c>
      <c r="E94" s="3">
        <v>42515</v>
      </c>
      <c r="F94" t="s">
        <v>8</v>
      </c>
    </row>
    <row r="95" spans="1:6" x14ac:dyDescent="0.3">
      <c r="A95">
        <v>94</v>
      </c>
      <c r="B95" t="s">
        <v>13</v>
      </c>
      <c r="C95" t="s">
        <v>5</v>
      </c>
      <c r="D95" s="2">
        <v>4904</v>
      </c>
      <c r="E95" s="3">
        <v>42515</v>
      </c>
      <c r="F95" t="s">
        <v>20</v>
      </c>
    </row>
    <row r="96" spans="1:6" x14ac:dyDescent="0.3">
      <c r="A96">
        <v>95</v>
      </c>
      <c r="B96" t="s">
        <v>18</v>
      </c>
      <c r="C96" t="s">
        <v>6</v>
      </c>
      <c r="D96" s="2">
        <v>1002</v>
      </c>
      <c r="E96" s="3">
        <v>42515</v>
      </c>
      <c r="F96" t="s">
        <v>11</v>
      </c>
    </row>
    <row r="97" spans="1:6" x14ac:dyDescent="0.3">
      <c r="A97">
        <v>96</v>
      </c>
      <c r="B97" t="s">
        <v>15</v>
      </c>
      <c r="C97" t="s">
        <v>5</v>
      </c>
      <c r="D97" s="2">
        <v>8141</v>
      </c>
      <c r="E97" s="3">
        <v>42516</v>
      </c>
      <c r="F97" t="s">
        <v>9</v>
      </c>
    </row>
    <row r="98" spans="1:6" x14ac:dyDescent="0.3">
      <c r="A98">
        <v>97</v>
      </c>
      <c r="B98" t="s">
        <v>15</v>
      </c>
      <c r="C98" t="s">
        <v>5</v>
      </c>
      <c r="D98" s="2">
        <v>3644</v>
      </c>
      <c r="E98" s="3">
        <v>42516</v>
      </c>
      <c r="F98" t="s">
        <v>10</v>
      </c>
    </row>
    <row r="99" spans="1:6" x14ac:dyDescent="0.3">
      <c r="A99">
        <v>98</v>
      </c>
      <c r="B99" t="s">
        <v>15</v>
      </c>
      <c r="C99" t="s">
        <v>5</v>
      </c>
      <c r="D99" s="2">
        <v>1380</v>
      </c>
      <c r="E99" s="3">
        <v>42516</v>
      </c>
      <c r="F99" t="s">
        <v>11</v>
      </c>
    </row>
    <row r="100" spans="1:6" x14ac:dyDescent="0.3">
      <c r="A100">
        <v>99</v>
      </c>
      <c r="B100" t="s">
        <v>21</v>
      </c>
      <c r="C100" t="s">
        <v>6</v>
      </c>
      <c r="D100" s="2">
        <v>8354</v>
      </c>
      <c r="E100" s="3">
        <v>42516</v>
      </c>
      <c r="F100" t="s">
        <v>12</v>
      </c>
    </row>
    <row r="101" spans="1:6" x14ac:dyDescent="0.3">
      <c r="A101">
        <v>100</v>
      </c>
      <c r="B101" t="s">
        <v>13</v>
      </c>
      <c r="C101" t="s">
        <v>5</v>
      </c>
      <c r="D101" s="2">
        <v>5182</v>
      </c>
      <c r="E101" s="3">
        <v>42517</v>
      </c>
      <c r="F101" t="s">
        <v>8</v>
      </c>
    </row>
    <row r="102" spans="1:6" x14ac:dyDescent="0.3">
      <c r="A102">
        <v>101</v>
      </c>
      <c r="B102" t="s">
        <v>14</v>
      </c>
      <c r="C102" t="s">
        <v>5</v>
      </c>
      <c r="D102" s="2">
        <v>2193</v>
      </c>
      <c r="E102" s="3">
        <v>42517</v>
      </c>
      <c r="F102" t="s">
        <v>19</v>
      </c>
    </row>
    <row r="103" spans="1:6" x14ac:dyDescent="0.3">
      <c r="A103">
        <v>102</v>
      </c>
      <c r="B103" t="s">
        <v>16</v>
      </c>
      <c r="C103" t="s">
        <v>5</v>
      </c>
      <c r="D103" s="2">
        <v>3647</v>
      </c>
      <c r="E103" s="3">
        <v>42518</v>
      </c>
      <c r="F103" t="s">
        <v>8</v>
      </c>
    </row>
    <row r="104" spans="1:6" x14ac:dyDescent="0.3">
      <c r="A104">
        <v>103</v>
      </c>
      <c r="B104" t="s">
        <v>14</v>
      </c>
      <c r="C104" t="s">
        <v>5</v>
      </c>
      <c r="D104" s="2">
        <v>4104</v>
      </c>
      <c r="E104" s="3">
        <v>42518</v>
      </c>
      <c r="F104" t="s">
        <v>8</v>
      </c>
    </row>
    <row r="105" spans="1:6" x14ac:dyDescent="0.3">
      <c r="A105">
        <v>104</v>
      </c>
      <c r="B105" t="s">
        <v>17</v>
      </c>
      <c r="C105" t="s">
        <v>6</v>
      </c>
      <c r="D105" s="2">
        <v>7457</v>
      </c>
      <c r="E105" s="3">
        <v>42518</v>
      </c>
      <c r="F105" t="s">
        <v>8</v>
      </c>
    </row>
    <row r="106" spans="1:6" x14ac:dyDescent="0.3">
      <c r="A106">
        <v>105</v>
      </c>
      <c r="B106" t="s">
        <v>16</v>
      </c>
      <c r="C106" t="s">
        <v>5</v>
      </c>
      <c r="D106" s="2">
        <v>3767</v>
      </c>
      <c r="E106" s="3">
        <v>42519</v>
      </c>
      <c r="F106" t="s">
        <v>10</v>
      </c>
    </row>
    <row r="107" spans="1:6" x14ac:dyDescent="0.3">
      <c r="A107">
        <v>106</v>
      </c>
      <c r="B107" t="s">
        <v>21</v>
      </c>
      <c r="C107" t="s">
        <v>6</v>
      </c>
      <c r="D107" s="2">
        <v>4685</v>
      </c>
      <c r="E107" s="3">
        <v>42520</v>
      </c>
      <c r="F107" t="s">
        <v>12</v>
      </c>
    </row>
    <row r="108" spans="1:6" x14ac:dyDescent="0.3">
      <c r="A108">
        <v>107</v>
      </c>
      <c r="B108" t="s">
        <v>13</v>
      </c>
      <c r="C108" t="s">
        <v>5</v>
      </c>
      <c r="D108" s="2">
        <v>3917</v>
      </c>
      <c r="E108" s="3">
        <v>42525</v>
      </c>
      <c r="F108" t="s">
        <v>8</v>
      </c>
    </row>
    <row r="109" spans="1:6" x14ac:dyDescent="0.3">
      <c r="A109">
        <v>108</v>
      </c>
      <c r="B109" t="s">
        <v>14</v>
      </c>
      <c r="C109" t="s">
        <v>5</v>
      </c>
      <c r="D109" s="2">
        <v>521</v>
      </c>
      <c r="E109" s="3">
        <v>42525</v>
      </c>
      <c r="F109" t="s">
        <v>10</v>
      </c>
    </row>
    <row r="110" spans="1:6" x14ac:dyDescent="0.3">
      <c r="A110">
        <v>109</v>
      </c>
      <c r="B110" t="s">
        <v>14</v>
      </c>
      <c r="C110" t="s">
        <v>5</v>
      </c>
      <c r="D110" s="2">
        <v>5605</v>
      </c>
      <c r="E110" s="3">
        <v>42531</v>
      </c>
      <c r="F110" t="s">
        <v>19</v>
      </c>
    </row>
    <row r="111" spans="1:6" x14ac:dyDescent="0.3">
      <c r="A111">
        <v>110</v>
      </c>
      <c r="B111" t="s">
        <v>21</v>
      </c>
      <c r="C111" t="s">
        <v>6</v>
      </c>
      <c r="D111" s="2">
        <v>9630</v>
      </c>
      <c r="E111" s="3">
        <v>42532</v>
      </c>
      <c r="F111" t="s">
        <v>12</v>
      </c>
    </row>
    <row r="112" spans="1:6" x14ac:dyDescent="0.3">
      <c r="A112">
        <v>111</v>
      </c>
      <c r="B112" t="s">
        <v>13</v>
      </c>
      <c r="C112" t="s">
        <v>5</v>
      </c>
      <c r="D112" s="2">
        <v>6941</v>
      </c>
      <c r="E112" s="3">
        <v>42541</v>
      </c>
      <c r="F112" t="s">
        <v>10</v>
      </c>
    </row>
    <row r="113" spans="1:6" x14ac:dyDescent="0.3">
      <c r="A113">
        <v>112</v>
      </c>
      <c r="B113" t="s">
        <v>21</v>
      </c>
      <c r="C113" t="s">
        <v>6</v>
      </c>
      <c r="D113" s="2">
        <v>7231</v>
      </c>
      <c r="E113" s="3">
        <v>42541</v>
      </c>
      <c r="F113" t="s">
        <v>9</v>
      </c>
    </row>
    <row r="114" spans="1:6" x14ac:dyDescent="0.3">
      <c r="A114">
        <v>113</v>
      </c>
      <c r="B114" t="s">
        <v>21</v>
      </c>
      <c r="C114" t="s">
        <v>6</v>
      </c>
      <c r="D114" s="2">
        <v>8891</v>
      </c>
      <c r="E114" s="3">
        <v>42544</v>
      </c>
      <c r="F114" t="s">
        <v>11</v>
      </c>
    </row>
    <row r="115" spans="1:6" x14ac:dyDescent="0.3">
      <c r="A115">
        <v>114</v>
      </c>
      <c r="B115" t="s">
        <v>13</v>
      </c>
      <c r="C115" t="s">
        <v>5</v>
      </c>
      <c r="D115" s="2">
        <v>107</v>
      </c>
      <c r="E115" s="3">
        <v>42546</v>
      </c>
      <c r="F115" t="s">
        <v>19</v>
      </c>
    </row>
    <row r="116" spans="1:6" x14ac:dyDescent="0.3">
      <c r="A116">
        <v>115</v>
      </c>
      <c r="B116" t="s">
        <v>13</v>
      </c>
      <c r="C116" t="s">
        <v>5</v>
      </c>
      <c r="D116" s="2">
        <v>4243</v>
      </c>
      <c r="E116" s="3">
        <v>42547</v>
      </c>
      <c r="F116" t="s">
        <v>8</v>
      </c>
    </row>
    <row r="117" spans="1:6" x14ac:dyDescent="0.3">
      <c r="A117">
        <v>116</v>
      </c>
      <c r="B117" t="s">
        <v>15</v>
      </c>
      <c r="C117" t="s">
        <v>5</v>
      </c>
      <c r="D117" s="2">
        <v>4514</v>
      </c>
      <c r="E117" s="3">
        <v>42548</v>
      </c>
      <c r="F117" t="s">
        <v>8</v>
      </c>
    </row>
    <row r="118" spans="1:6" x14ac:dyDescent="0.3">
      <c r="A118">
        <v>117</v>
      </c>
      <c r="B118" t="s">
        <v>16</v>
      </c>
      <c r="C118" t="s">
        <v>5</v>
      </c>
      <c r="D118" s="2">
        <v>5480</v>
      </c>
      <c r="E118" s="3">
        <v>42553</v>
      </c>
      <c r="F118" t="s">
        <v>8</v>
      </c>
    </row>
    <row r="119" spans="1:6" x14ac:dyDescent="0.3">
      <c r="A119">
        <v>118</v>
      </c>
      <c r="B119" t="s">
        <v>13</v>
      </c>
      <c r="C119" t="s">
        <v>5</v>
      </c>
      <c r="D119" s="2">
        <v>5002</v>
      </c>
      <c r="E119" s="3">
        <v>42553</v>
      </c>
      <c r="F119" t="s">
        <v>19</v>
      </c>
    </row>
    <row r="120" spans="1:6" x14ac:dyDescent="0.3">
      <c r="A120">
        <v>119</v>
      </c>
      <c r="B120" t="s">
        <v>13</v>
      </c>
      <c r="C120" t="s">
        <v>5</v>
      </c>
      <c r="D120" s="2">
        <v>8530</v>
      </c>
      <c r="E120" s="3">
        <v>42556</v>
      </c>
      <c r="F120" t="s">
        <v>10</v>
      </c>
    </row>
    <row r="121" spans="1:6" x14ac:dyDescent="0.3">
      <c r="A121">
        <v>120</v>
      </c>
      <c r="B121" t="s">
        <v>15</v>
      </c>
      <c r="C121" t="s">
        <v>5</v>
      </c>
      <c r="D121" s="2">
        <v>4819</v>
      </c>
      <c r="E121" s="3">
        <v>42558</v>
      </c>
      <c r="F121" t="s">
        <v>20</v>
      </c>
    </row>
    <row r="122" spans="1:6" x14ac:dyDescent="0.3">
      <c r="A122">
        <v>121</v>
      </c>
      <c r="B122" t="s">
        <v>21</v>
      </c>
      <c r="C122" t="s">
        <v>6</v>
      </c>
      <c r="D122" s="2">
        <v>6343</v>
      </c>
      <c r="E122" s="3">
        <v>42562</v>
      </c>
      <c r="F122" t="s">
        <v>9</v>
      </c>
    </row>
    <row r="123" spans="1:6" x14ac:dyDescent="0.3">
      <c r="A123">
        <v>122</v>
      </c>
      <c r="B123" t="s">
        <v>15</v>
      </c>
      <c r="C123" t="s">
        <v>5</v>
      </c>
      <c r="D123" s="2">
        <v>2318</v>
      </c>
      <c r="E123" s="3">
        <v>42564</v>
      </c>
      <c r="F123" t="s">
        <v>9</v>
      </c>
    </row>
    <row r="124" spans="1:6" x14ac:dyDescent="0.3">
      <c r="A124">
        <v>123</v>
      </c>
      <c r="B124" t="s">
        <v>15</v>
      </c>
      <c r="C124" t="s">
        <v>5</v>
      </c>
      <c r="D124" s="2">
        <v>220</v>
      </c>
      <c r="E124" s="3">
        <v>42571</v>
      </c>
      <c r="F124" t="s">
        <v>9</v>
      </c>
    </row>
    <row r="125" spans="1:6" x14ac:dyDescent="0.3">
      <c r="A125">
        <v>124</v>
      </c>
      <c r="B125" t="s">
        <v>15</v>
      </c>
      <c r="C125" t="s">
        <v>5</v>
      </c>
      <c r="D125" s="2">
        <v>6341</v>
      </c>
      <c r="E125" s="3">
        <v>42571</v>
      </c>
      <c r="F125" t="s">
        <v>20</v>
      </c>
    </row>
    <row r="126" spans="1:6" x14ac:dyDescent="0.3">
      <c r="A126">
        <v>125</v>
      </c>
      <c r="B126" t="s">
        <v>14</v>
      </c>
      <c r="C126" t="s">
        <v>5</v>
      </c>
      <c r="D126" s="2">
        <v>330</v>
      </c>
      <c r="E126" s="3">
        <v>42571</v>
      </c>
      <c r="F126" t="s">
        <v>12</v>
      </c>
    </row>
    <row r="127" spans="1:6" x14ac:dyDescent="0.3">
      <c r="A127">
        <v>126</v>
      </c>
      <c r="B127" t="s">
        <v>21</v>
      </c>
      <c r="C127" t="s">
        <v>6</v>
      </c>
      <c r="D127" s="2">
        <v>3027</v>
      </c>
      <c r="E127" s="3">
        <v>42571</v>
      </c>
      <c r="F127" t="s">
        <v>9</v>
      </c>
    </row>
    <row r="128" spans="1:6" x14ac:dyDescent="0.3">
      <c r="A128">
        <v>127</v>
      </c>
      <c r="B128" t="s">
        <v>15</v>
      </c>
      <c r="C128" t="s">
        <v>5</v>
      </c>
      <c r="D128" s="2">
        <v>850</v>
      </c>
      <c r="E128" s="3">
        <v>42573</v>
      </c>
      <c r="F128" t="s">
        <v>20</v>
      </c>
    </row>
    <row r="129" spans="1:6" x14ac:dyDescent="0.3">
      <c r="A129">
        <v>128</v>
      </c>
      <c r="B129" t="s">
        <v>13</v>
      </c>
      <c r="C129" t="s">
        <v>5</v>
      </c>
      <c r="D129" s="2">
        <v>8986</v>
      </c>
      <c r="E129" s="3">
        <v>42574</v>
      </c>
      <c r="F129" t="s">
        <v>9</v>
      </c>
    </row>
    <row r="130" spans="1:6" x14ac:dyDescent="0.3">
      <c r="A130">
        <v>129</v>
      </c>
      <c r="B130" t="s">
        <v>21</v>
      </c>
      <c r="C130" t="s">
        <v>6</v>
      </c>
      <c r="D130" s="2">
        <v>3800</v>
      </c>
      <c r="E130" s="3">
        <v>42576</v>
      </c>
      <c r="F130" t="s">
        <v>8</v>
      </c>
    </row>
    <row r="131" spans="1:6" x14ac:dyDescent="0.3">
      <c r="A131">
        <v>130</v>
      </c>
      <c r="B131" t="s">
        <v>17</v>
      </c>
      <c r="C131" t="s">
        <v>6</v>
      </c>
      <c r="D131" s="2">
        <v>5751</v>
      </c>
      <c r="E131" s="3">
        <v>42579</v>
      </c>
      <c r="F131" t="s">
        <v>9</v>
      </c>
    </row>
    <row r="132" spans="1:6" x14ac:dyDescent="0.3">
      <c r="A132">
        <v>131</v>
      </c>
      <c r="B132" t="s">
        <v>14</v>
      </c>
      <c r="C132" t="s">
        <v>5</v>
      </c>
      <c r="D132" s="2">
        <v>1704</v>
      </c>
      <c r="E132" s="3">
        <v>42580</v>
      </c>
      <c r="F132" t="s">
        <v>9</v>
      </c>
    </row>
    <row r="133" spans="1:6" x14ac:dyDescent="0.3">
      <c r="A133">
        <v>132</v>
      </c>
      <c r="B133" t="s">
        <v>13</v>
      </c>
      <c r="C133" t="s">
        <v>5</v>
      </c>
      <c r="D133" s="2">
        <v>7966</v>
      </c>
      <c r="E133" s="3">
        <v>42581</v>
      </c>
      <c r="F133" t="s">
        <v>11</v>
      </c>
    </row>
    <row r="134" spans="1:6" x14ac:dyDescent="0.3">
      <c r="A134">
        <v>133</v>
      </c>
      <c r="B134" t="s">
        <v>13</v>
      </c>
      <c r="C134" t="s">
        <v>5</v>
      </c>
      <c r="D134" s="2">
        <v>852</v>
      </c>
      <c r="E134" s="3">
        <v>42582</v>
      </c>
      <c r="F134" t="s">
        <v>8</v>
      </c>
    </row>
    <row r="135" spans="1:6" x14ac:dyDescent="0.3">
      <c r="A135">
        <v>134</v>
      </c>
      <c r="B135" t="s">
        <v>18</v>
      </c>
      <c r="C135" t="s">
        <v>6</v>
      </c>
      <c r="D135" s="2">
        <v>8416</v>
      </c>
      <c r="E135" s="3">
        <v>42582</v>
      </c>
      <c r="F135" t="s">
        <v>11</v>
      </c>
    </row>
    <row r="136" spans="1:6" x14ac:dyDescent="0.3">
      <c r="A136">
        <v>135</v>
      </c>
      <c r="B136" t="s">
        <v>13</v>
      </c>
      <c r="C136" t="s">
        <v>5</v>
      </c>
      <c r="D136" s="2">
        <v>7144</v>
      </c>
      <c r="E136" s="3">
        <v>42583</v>
      </c>
      <c r="F136" t="s">
        <v>19</v>
      </c>
    </row>
    <row r="137" spans="1:6" x14ac:dyDescent="0.3">
      <c r="A137">
        <v>136</v>
      </c>
      <c r="B137" t="s">
        <v>21</v>
      </c>
      <c r="C137" t="s">
        <v>6</v>
      </c>
      <c r="D137" s="2">
        <v>7854</v>
      </c>
      <c r="E137" s="3">
        <v>42583</v>
      </c>
      <c r="F137" t="s">
        <v>8</v>
      </c>
    </row>
    <row r="138" spans="1:6" x14ac:dyDescent="0.3">
      <c r="A138">
        <v>137</v>
      </c>
      <c r="B138" t="s">
        <v>15</v>
      </c>
      <c r="C138" t="s">
        <v>5</v>
      </c>
      <c r="D138" s="2">
        <v>859</v>
      </c>
      <c r="E138" s="3">
        <v>42585</v>
      </c>
      <c r="F138" t="s">
        <v>8</v>
      </c>
    </row>
    <row r="139" spans="1:6" x14ac:dyDescent="0.3">
      <c r="A139">
        <v>138</v>
      </c>
      <c r="B139" t="s">
        <v>21</v>
      </c>
      <c r="C139" t="s">
        <v>6</v>
      </c>
      <c r="D139" s="2">
        <v>8049</v>
      </c>
      <c r="E139" s="3">
        <v>42594</v>
      </c>
      <c r="F139" t="s">
        <v>8</v>
      </c>
    </row>
    <row r="140" spans="1:6" x14ac:dyDescent="0.3">
      <c r="A140">
        <v>139</v>
      </c>
      <c r="B140" t="s">
        <v>13</v>
      </c>
      <c r="C140" t="s">
        <v>5</v>
      </c>
      <c r="D140" s="2">
        <v>2836</v>
      </c>
      <c r="E140" s="3">
        <v>42595</v>
      </c>
      <c r="F140" t="s">
        <v>12</v>
      </c>
    </row>
    <row r="141" spans="1:6" x14ac:dyDescent="0.3">
      <c r="A141">
        <v>140</v>
      </c>
      <c r="B141" t="s">
        <v>17</v>
      </c>
      <c r="C141" t="s">
        <v>6</v>
      </c>
      <c r="D141" s="2">
        <v>1743</v>
      </c>
      <c r="E141" s="3">
        <v>42601</v>
      </c>
      <c r="F141" t="s">
        <v>8</v>
      </c>
    </row>
    <row r="142" spans="1:6" x14ac:dyDescent="0.3">
      <c r="A142">
        <v>141</v>
      </c>
      <c r="B142" t="s">
        <v>14</v>
      </c>
      <c r="C142" t="s">
        <v>5</v>
      </c>
      <c r="D142" s="2">
        <v>3844</v>
      </c>
      <c r="E142" s="3">
        <v>42605</v>
      </c>
      <c r="F142" t="s">
        <v>19</v>
      </c>
    </row>
    <row r="143" spans="1:6" x14ac:dyDescent="0.3">
      <c r="A143">
        <v>142</v>
      </c>
      <c r="B143" t="s">
        <v>14</v>
      </c>
      <c r="C143" t="s">
        <v>5</v>
      </c>
      <c r="D143" s="2">
        <v>7490</v>
      </c>
      <c r="E143" s="3">
        <v>42606</v>
      </c>
      <c r="F143" t="s">
        <v>19</v>
      </c>
    </row>
    <row r="144" spans="1:6" x14ac:dyDescent="0.3">
      <c r="A144">
        <v>143</v>
      </c>
      <c r="B144" t="s">
        <v>21</v>
      </c>
      <c r="C144" t="s">
        <v>6</v>
      </c>
      <c r="D144" s="2">
        <v>4483</v>
      </c>
      <c r="E144" s="3">
        <v>42607</v>
      </c>
      <c r="F144" t="s">
        <v>12</v>
      </c>
    </row>
    <row r="145" spans="1:6" x14ac:dyDescent="0.3">
      <c r="A145">
        <v>144</v>
      </c>
      <c r="B145" t="s">
        <v>14</v>
      </c>
      <c r="C145" t="s">
        <v>5</v>
      </c>
      <c r="D145" s="2">
        <v>7333</v>
      </c>
      <c r="E145" s="3">
        <v>42609</v>
      </c>
      <c r="F145" t="s">
        <v>10</v>
      </c>
    </row>
    <row r="146" spans="1:6" x14ac:dyDescent="0.3">
      <c r="A146">
        <v>145</v>
      </c>
      <c r="B146" t="s">
        <v>17</v>
      </c>
      <c r="C146" t="s">
        <v>6</v>
      </c>
      <c r="D146" s="2">
        <v>7654</v>
      </c>
      <c r="E146" s="3">
        <v>42610</v>
      </c>
      <c r="F146" t="s">
        <v>8</v>
      </c>
    </row>
    <row r="147" spans="1:6" x14ac:dyDescent="0.3">
      <c r="A147">
        <v>146</v>
      </c>
      <c r="B147" t="s">
        <v>14</v>
      </c>
      <c r="C147" t="s">
        <v>5</v>
      </c>
      <c r="D147" s="2">
        <v>3944</v>
      </c>
      <c r="E147" s="3">
        <v>42611</v>
      </c>
      <c r="F147" t="s">
        <v>9</v>
      </c>
    </row>
    <row r="148" spans="1:6" x14ac:dyDescent="0.3">
      <c r="A148">
        <v>147</v>
      </c>
      <c r="B148" t="s">
        <v>18</v>
      </c>
      <c r="C148" t="s">
        <v>6</v>
      </c>
      <c r="D148" s="2">
        <v>5761</v>
      </c>
      <c r="E148" s="3">
        <v>42611</v>
      </c>
      <c r="F148" t="s">
        <v>12</v>
      </c>
    </row>
    <row r="149" spans="1:6" x14ac:dyDescent="0.3">
      <c r="A149">
        <v>148</v>
      </c>
      <c r="B149" t="s">
        <v>13</v>
      </c>
      <c r="C149" t="s">
        <v>5</v>
      </c>
      <c r="D149" s="2">
        <v>6864</v>
      </c>
      <c r="E149" s="3">
        <v>42614</v>
      </c>
      <c r="F149" t="s">
        <v>20</v>
      </c>
    </row>
    <row r="150" spans="1:6" x14ac:dyDescent="0.3">
      <c r="A150">
        <v>149</v>
      </c>
      <c r="B150" t="s">
        <v>13</v>
      </c>
      <c r="C150" t="s">
        <v>5</v>
      </c>
      <c r="D150" s="2">
        <v>4016</v>
      </c>
      <c r="E150" s="3">
        <v>42614</v>
      </c>
      <c r="F150" t="s">
        <v>12</v>
      </c>
    </row>
    <row r="151" spans="1:6" x14ac:dyDescent="0.3">
      <c r="A151">
        <v>150</v>
      </c>
      <c r="B151" t="s">
        <v>13</v>
      </c>
      <c r="C151" t="s">
        <v>5</v>
      </c>
      <c r="D151" s="2">
        <v>1841</v>
      </c>
      <c r="E151" s="3">
        <v>42615</v>
      </c>
      <c r="F151" t="s">
        <v>8</v>
      </c>
    </row>
    <row r="152" spans="1:6" x14ac:dyDescent="0.3">
      <c r="A152">
        <v>151</v>
      </c>
      <c r="B152" t="s">
        <v>13</v>
      </c>
      <c r="C152" t="s">
        <v>5</v>
      </c>
      <c r="D152" s="2">
        <v>424</v>
      </c>
      <c r="E152" s="3">
        <v>42618</v>
      </c>
      <c r="F152" t="s">
        <v>11</v>
      </c>
    </row>
    <row r="153" spans="1:6" x14ac:dyDescent="0.3">
      <c r="A153">
        <v>152</v>
      </c>
      <c r="B153" t="s">
        <v>13</v>
      </c>
      <c r="C153" t="s">
        <v>5</v>
      </c>
      <c r="D153" s="2">
        <v>8765</v>
      </c>
      <c r="E153" s="3">
        <v>42620</v>
      </c>
      <c r="F153" t="s">
        <v>9</v>
      </c>
    </row>
    <row r="154" spans="1:6" x14ac:dyDescent="0.3">
      <c r="A154">
        <v>153</v>
      </c>
      <c r="B154" t="s">
        <v>13</v>
      </c>
      <c r="C154" t="s">
        <v>5</v>
      </c>
      <c r="D154" s="2">
        <v>5583</v>
      </c>
      <c r="E154" s="3">
        <v>42621</v>
      </c>
      <c r="F154" t="s">
        <v>8</v>
      </c>
    </row>
    <row r="155" spans="1:6" x14ac:dyDescent="0.3">
      <c r="A155">
        <v>154</v>
      </c>
      <c r="B155" t="s">
        <v>21</v>
      </c>
      <c r="C155" t="s">
        <v>6</v>
      </c>
      <c r="D155" s="2">
        <v>4390</v>
      </c>
      <c r="E155" s="3">
        <v>42622</v>
      </c>
      <c r="F155" t="s">
        <v>20</v>
      </c>
    </row>
    <row r="156" spans="1:6" x14ac:dyDescent="0.3">
      <c r="A156">
        <v>155</v>
      </c>
      <c r="B156" t="s">
        <v>21</v>
      </c>
      <c r="C156" t="s">
        <v>6</v>
      </c>
      <c r="D156" s="2">
        <v>352</v>
      </c>
      <c r="E156" s="3">
        <v>42622</v>
      </c>
      <c r="F156" t="s">
        <v>10</v>
      </c>
    </row>
    <row r="157" spans="1:6" x14ac:dyDescent="0.3">
      <c r="A157">
        <v>156</v>
      </c>
      <c r="B157" t="s">
        <v>14</v>
      </c>
      <c r="C157" t="s">
        <v>5</v>
      </c>
      <c r="D157" s="2">
        <v>8489</v>
      </c>
      <c r="E157" s="3">
        <v>42624</v>
      </c>
      <c r="F157" t="s">
        <v>8</v>
      </c>
    </row>
    <row r="158" spans="1:6" x14ac:dyDescent="0.3">
      <c r="A158">
        <v>157</v>
      </c>
      <c r="B158" t="s">
        <v>13</v>
      </c>
      <c r="C158" t="s">
        <v>5</v>
      </c>
      <c r="D158" s="2">
        <v>7090</v>
      </c>
      <c r="E158" s="3">
        <v>42624</v>
      </c>
      <c r="F158" t="s">
        <v>19</v>
      </c>
    </row>
    <row r="159" spans="1:6" x14ac:dyDescent="0.3">
      <c r="A159">
        <v>158</v>
      </c>
      <c r="B159" t="s">
        <v>13</v>
      </c>
      <c r="C159" t="s">
        <v>5</v>
      </c>
      <c r="D159" s="2">
        <v>7880</v>
      </c>
      <c r="E159" s="3">
        <v>42628</v>
      </c>
      <c r="F159" t="s">
        <v>8</v>
      </c>
    </row>
    <row r="160" spans="1:6" x14ac:dyDescent="0.3">
      <c r="A160">
        <v>159</v>
      </c>
      <c r="B160" t="s">
        <v>15</v>
      </c>
      <c r="C160" t="s">
        <v>5</v>
      </c>
      <c r="D160" s="2">
        <v>3861</v>
      </c>
      <c r="E160" s="3">
        <v>42631</v>
      </c>
      <c r="F160" t="s">
        <v>8</v>
      </c>
    </row>
    <row r="161" spans="1:6" x14ac:dyDescent="0.3">
      <c r="A161">
        <v>160</v>
      </c>
      <c r="B161" t="s">
        <v>21</v>
      </c>
      <c r="C161" t="s">
        <v>6</v>
      </c>
      <c r="D161" s="2">
        <v>7927</v>
      </c>
      <c r="E161" s="3">
        <v>42632</v>
      </c>
      <c r="F161" t="s">
        <v>12</v>
      </c>
    </row>
    <row r="162" spans="1:6" x14ac:dyDescent="0.3">
      <c r="A162">
        <v>161</v>
      </c>
      <c r="B162" t="s">
        <v>13</v>
      </c>
      <c r="C162" t="s">
        <v>5</v>
      </c>
      <c r="D162" s="2">
        <v>6162</v>
      </c>
      <c r="E162" s="3">
        <v>42633</v>
      </c>
      <c r="F162" t="s">
        <v>8</v>
      </c>
    </row>
    <row r="163" spans="1:6" x14ac:dyDescent="0.3">
      <c r="A163">
        <v>162</v>
      </c>
      <c r="B163" t="s">
        <v>16</v>
      </c>
      <c r="C163" t="s">
        <v>5</v>
      </c>
      <c r="D163" s="2">
        <v>5523</v>
      </c>
      <c r="E163" s="3">
        <v>42638</v>
      </c>
      <c r="F163" t="s">
        <v>11</v>
      </c>
    </row>
    <row r="164" spans="1:6" x14ac:dyDescent="0.3">
      <c r="A164">
        <v>163</v>
      </c>
      <c r="B164" t="s">
        <v>21</v>
      </c>
      <c r="C164" t="s">
        <v>6</v>
      </c>
      <c r="D164" s="2">
        <v>5936</v>
      </c>
      <c r="E164" s="3">
        <v>42638</v>
      </c>
      <c r="F164" t="s">
        <v>9</v>
      </c>
    </row>
    <row r="165" spans="1:6" x14ac:dyDescent="0.3">
      <c r="A165">
        <v>164</v>
      </c>
      <c r="B165" t="s">
        <v>17</v>
      </c>
      <c r="C165" t="s">
        <v>6</v>
      </c>
      <c r="D165" s="2">
        <v>7251</v>
      </c>
      <c r="E165" s="3">
        <v>42639</v>
      </c>
      <c r="F165" t="s">
        <v>12</v>
      </c>
    </row>
    <row r="166" spans="1:6" x14ac:dyDescent="0.3">
      <c r="A166">
        <v>165</v>
      </c>
      <c r="B166" t="s">
        <v>15</v>
      </c>
      <c r="C166" t="s">
        <v>5</v>
      </c>
      <c r="D166" s="2">
        <v>6187</v>
      </c>
      <c r="E166" s="3">
        <v>42640</v>
      </c>
      <c r="F166" t="s">
        <v>11</v>
      </c>
    </row>
    <row r="167" spans="1:6" x14ac:dyDescent="0.3">
      <c r="A167">
        <v>166</v>
      </c>
      <c r="B167" t="s">
        <v>13</v>
      </c>
      <c r="C167" t="s">
        <v>5</v>
      </c>
      <c r="D167" s="2">
        <v>3210</v>
      </c>
      <c r="E167" s="3">
        <v>42642</v>
      </c>
      <c r="F167" t="s">
        <v>12</v>
      </c>
    </row>
    <row r="168" spans="1:6" x14ac:dyDescent="0.3">
      <c r="A168">
        <v>167</v>
      </c>
      <c r="B168" t="s">
        <v>17</v>
      </c>
      <c r="C168" t="s">
        <v>6</v>
      </c>
      <c r="D168" s="2">
        <v>682</v>
      </c>
      <c r="E168" s="3">
        <v>42642</v>
      </c>
      <c r="F168" t="s">
        <v>12</v>
      </c>
    </row>
    <row r="169" spans="1:6" x14ac:dyDescent="0.3">
      <c r="A169">
        <v>168</v>
      </c>
      <c r="B169" t="s">
        <v>13</v>
      </c>
      <c r="C169" t="s">
        <v>5</v>
      </c>
      <c r="D169" s="2">
        <v>793</v>
      </c>
      <c r="E169" s="3">
        <v>42646</v>
      </c>
      <c r="F169" t="s">
        <v>11</v>
      </c>
    </row>
    <row r="170" spans="1:6" x14ac:dyDescent="0.3">
      <c r="A170">
        <v>169</v>
      </c>
      <c r="B170" t="s">
        <v>17</v>
      </c>
      <c r="C170" t="s">
        <v>6</v>
      </c>
      <c r="D170" s="2">
        <v>5346</v>
      </c>
      <c r="E170" s="3">
        <v>42647</v>
      </c>
      <c r="F170" t="s">
        <v>12</v>
      </c>
    </row>
    <row r="171" spans="1:6" x14ac:dyDescent="0.3">
      <c r="A171">
        <v>170</v>
      </c>
      <c r="B171" t="s">
        <v>13</v>
      </c>
      <c r="C171" t="s">
        <v>5</v>
      </c>
      <c r="D171" s="2">
        <v>7103</v>
      </c>
      <c r="E171" s="3">
        <v>42650</v>
      </c>
      <c r="F171" t="s">
        <v>20</v>
      </c>
    </row>
    <row r="172" spans="1:6" x14ac:dyDescent="0.3">
      <c r="A172">
        <v>171</v>
      </c>
      <c r="B172" t="s">
        <v>17</v>
      </c>
      <c r="C172" t="s">
        <v>6</v>
      </c>
      <c r="D172" s="2">
        <v>4603</v>
      </c>
      <c r="E172" s="3">
        <v>42653</v>
      </c>
      <c r="F172" t="s">
        <v>8</v>
      </c>
    </row>
    <row r="173" spans="1:6" x14ac:dyDescent="0.3">
      <c r="A173">
        <v>172</v>
      </c>
      <c r="B173" t="s">
        <v>14</v>
      </c>
      <c r="C173" t="s">
        <v>5</v>
      </c>
      <c r="D173" s="2">
        <v>8160</v>
      </c>
      <c r="E173" s="3">
        <v>42659</v>
      </c>
      <c r="F173" t="s">
        <v>19</v>
      </c>
    </row>
    <row r="174" spans="1:6" x14ac:dyDescent="0.3">
      <c r="A174">
        <v>173</v>
      </c>
      <c r="B174" t="s">
        <v>14</v>
      </c>
      <c r="C174" t="s">
        <v>5</v>
      </c>
      <c r="D174" s="2">
        <v>7171</v>
      </c>
      <c r="E174" s="3">
        <v>42666</v>
      </c>
      <c r="F174" t="s">
        <v>9</v>
      </c>
    </row>
    <row r="175" spans="1:6" x14ac:dyDescent="0.3">
      <c r="A175">
        <v>174</v>
      </c>
      <c r="B175" t="s">
        <v>13</v>
      </c>
      <c r="C175" t="s">
        <v>5</v>
      </c>
      <c r="D175" s="2">
        <v>3552</v>
      </c>
      <c r="E175" s="3">
        <v>42666</v>
      </c>
      <c r="F175" t="s">
        <v>20</v>
      </c>
    </row>
    <row r="176" spans="1:6" x14ac:dyDescent="0.3">
      <c r="A176">
        <v>175</v>
      </c>
      <c r="B176" t="s">
        <v>13</v>
      </c>
      <c r="C176" t="s">
        <v>5</v>
      </c>
      <c r="D176" s="2">
        <v>7273</v>
      </c>
      <c r="E176" s="3">
        <v>42668</v>
      </c>
      <c r="F176" t="s">
        <v>11</v>
      </c>
    </row>
    <row r="177" spans="1:6" x14ac:dyDescent="0.3">
      <c r="A177">
        <v>176</v>
      </c>
      <c r="B177" t="s">
        <v>13</v>
      </c>
      <c r="C177" t="s">
        <v>5</v>
      </c>
      <c r="D177" s="2">
        <v>2402</v>
      </c>
      <c r="E177" s="3">
        <v>42669</v>
      </c>
      <c r="F177" t="s">
        <v>12</v>
      </c>
    </row>
    <row r="178" spans="1:6" x14ac:dyDescent="0.3">
      <c r="A178">
        <v>177</v>
      </c>
      <c r="B178" t="s">
        <v>13</v>
      </c>
      <c r="C178" t="s">
        <v>5</v>
      </c>
      <c r="D178" s="2">
        <v>1197</v>
      </c>
      <c r="E178" s="3">
        <v>42669</v>
      </c>
      <c r="F178" t="s">
        <v>11</v>
      </c>
    </row>
    <row r="179" spans="1:6" x14ac:dyDescent="0.3">
      <c r="A179">
        <v>178</v>
      </c>
      <c r="B179" t="s">
        <v>18</v>
      </c>
      <c r="C179" t="s">
        <v>6</v>
      </c>
      <c r="D179" s="2">
        <v>5015</v>
      </c>
      <c r="E179" s="3">
        <v>42669</v>
      </c>
      <c r="F179" t="s">
        <v>11</v>
      </c>
    </row>
    <row r="180" spans="1:6" x14ac:dyDescent="0.3">
      <c r="A180">
        <v>179</v>
      </c>
      <c r="B180" t="s">
        <v>15</v>
      </c>
      <c r="C180" t="s">
        <v>5</v>
      </c>
      <c r="D180" s="2">
        <v>5818</v>
      </c>
      <c r="E180" s="3">
        <v>42676</v>
      </c>
      <c r="F180" t="s">
        <v>8</v>
      </c>
    </row>
    <row r="181" spans="1:6" x14ac:dyDescent="0.3">
      <c r="A181">
        <v>180</v>
      </c>
      <c r="B181" t="s">
        <v>13</v>
      </c>
      <c r="C181" t="s">
        <v>5</v>
      </c>
      <c r="D181" s="2">
        <v>4399</v>
      </c>
      <c r="E181" s="3">
        <v>42677</v>
      </c>
      <c r="F181" t="s">
        <v>9</v>
      </c>
    </row>
    <row r="182" spans="1:6" x14ac:dyDescent="0.3">
      <c r="A182">
        <v>181</v>
      </c>
      <c r="B182" t="s">
        <v>17</v>
      </c>
      <c r="C182" t="s">
        <v>6</v>
      </c>
      <c r="D182" s="2">
        <v>3011</v>
      </c>
      <c r="E182" s="3">
        <v>42677</v>
      </c>
      <c r="F182" t="s">
        <v>8</v>
      </c>
    </row>
    <row r="183" spans="1:6" x14ac:dyDescent="0.3">
      <c r="A183">
        <v>182</v>
      </c>
      <c r="B183" t="s">
        <v>14</v>
      </c>
      <c r="C183" t="s">
        <v>5</v>
      </c>
      <c r="D183" s="2">
        <v>4715</v>
      </c>
      <c r="E183" s="3">
        <v>42683</v>
      </c>
      <c r="F183" t="s">
        <v>9</v>
      </c>
    </row>
    <row r="184" spans="1:6" x14ac:dyDescent="0.3">
      <c r="A184">
        <v>183</v>
      </c>
      <c r="B184" t="s">
        <v>14</v>
      </c>
      <c r="C184" t="s">
        <v>5</v>
      </c>
      <c r="D184" s="2">
        <v>5321</v>
      </c>
      <c r="E184" s="3">
        <v>42686</v>
      </c>
      <c r="F184" t="s">
        <v>19</v>
      </c>
    </row>
    <row r="185" spans="1:6" x14ac:dyDescent="0.3">
      <c r="A185">
        <v>184</v>
      </c>
      <c r="B185" t="s">
        <v>13</v>
      </c>
      <c r="C185" t="s">
        <v>5</v>
      </c>
      <c r="D185" s="2">
        <v>8894</v>
      </c>
      <c r="E185" s="3">
        <v>42689</v>
      </c>
      <c r="F185" t="s">
        <v>8</v>
      </c>
    </row>
    <row r="186" spans="1:6" x14ac:dyDescent="0.3">
      <c r="A186">
        <v>185</v>
      </c>
      <c r="B186" t="s">
        <v>17</v>
      </c>
      <c r="C186" t="s">
        <v>6</v>
      </c>
      <c r="D186" s="2">
        <v>4846</v>
      </c>
      <c r="E186" s="3">
        <v>42699</v>
      </c>
      <c r="F186" t="s">
        <v>9</v>
      </c>
    </row>
    <row r="187" spans="1:6" x14ac:dyDescent="0.3">
      <c r="A187">
        <v>186</v>
      </c>
      <c r="B187" t="s">
        <v>21</v>
      </c>
      <c r="C187" t="s">
        <v>6</v>
      </c>
      <c r="D187" s="2">
        <v>284</v>
      </c>
      <c r="E187" s="3">
        <v>42699</v>
      </c>
      <c r="F187" t="s">
        <v>12</v>
      </c>
    </row>
    <row r="188" spans="1:6" x14ac:dyDescent="0.3">
      <c r="A188">
        <v>187</v>
      </c>
      <c r="B188" t="s">
        <v>15</v>
      </c>
      <c r="C188" t="s">
        <v>5</v>
      </c>
      <c r="D188" s="2">
        <v>8283</v>
      </c>
      <c r="E188" s="3">
        <v>42700</v>
      </c>
      <c r="F188" t="s">
        <v>9</v>
      </c>
    </row>
    <row r="189" spans="1:6" x14ac:dyDescent="0.3">
      <c r="A189">
        <v>188</v>
      </c>
      <c r="B189" t="s">
        <v>15</v>
      </c>
      <c r="C189" t="s">
        <v>5</v>
      </c>
      <c r="D189" s="2">
        <v>9990</v>
      </c>
      <c r="E189" s="3">
        <v>42702</v>
      </c>
      <c r="F189" t="s">
        <v>10</v>
      </c>
    </row>
    <row r="190" spans="1:6" x14ac:dyDescent="0.3">
      <c r="A190">
        <v>189</v>
      </c>
      <c r="B190" t="s">
        <v>13</v>
      </c>
      <c r="C190" t="s">
        <v>5</v>
      </c>
      <c r="D190" s="2">
        <v>9014</v>
      </c>
      <c r="E190" s="3">
        <v>42702</v>
      </c>
      <c r="F190" t="s">
        <v>11</v>
      </c>
    </row>
    <row r="191" spans="1:6" x14ac:dyDescent="0.3">
      <c r="A191">
        <v>190</v>
      </c>
      <c r="B191" t="s">
        <v>14</v>
      </c>
      <c r="C191" t="s">
        <v>5</v>
      </c>
      <c r="D191" s="2">
        <v>1942</v>
      </c>
      <c r="E191" s="3">
        <v>42703</v>
      </c>
      <c r="F191" t="s">
        <v>19</v>
      </c>
    </row>
    <row r="192" spans="1:6" x14ac:dyDescent="0.3">
      <c r="A192">
        <v>191</v>
      </c>
      <c r="B192" t="s">
        <v>13</v>
      </c>
      <c r="C192" t="s">
        <v>5</v>
      </c>
      <c r="D192" s="2">
        <v>7223</v>
      </c>
      <c r="E192" s="3">
        <v>42704</v>
      </c>
      <c r="F192" t="s">
        <v>8</v>
      </c>
    </row>
    <row r="193" spans="1:6" x14ac:dyDescent="0.3">
      <c r="A193">
        <v>192</v>
      </c>
      <c r="B193" t="s">
        <v>17</v>
      </c>
      <c r="C193" t="s">
        <v>6</v>
      </c>
      <c r="D193" s="2">
        <v>4673</v>
      </c>
      <c r="E193" s="3">
        <v>42706</v>
      </c>
      <c r="F193" t="s">
        <v>8</v>
      </c>
    </row>
    <row r="194" spans="1:6" x14ac:dyDescent="0.3">
      <c r="A194">
        <v>193</v>
      </c>
      <c r="B194" t="s">
        <v>17</v>
      </c>
      <c r="C194" t="s">
        <v>6</v>
      </c>
      <c r="D194" s="2">
        <v>9104</v>
      </c>
      <c r="E194" s="3">
        <v>42708</v>
      </c>
      <c r="F194" t="s">
        <v>19</v>
      </c>
    </row>
    <row r="195" spans="1:6" x14ac:dyDescent="0.3">
      <c r="A195">
        <v>194</v>
      </c>
      <c r="B195" t="s">
        <v>14</v>
      </c>
      <c r="C195" t="s">
        <v>5</v>
      </c>
      <c r="D195" s="2">
        <v>6078</v>
      </c>
      <c r="E195" s="3">
        <v>42709</v>
      </c>
      <c r="F195" t="s">
        <v>8</v>
      </c>
    </row>
    <row r="196" spans="1:6" x14ac:dyDescent="0.3">
      <c r="A196">
        <v>195</v>
      </c>
      <c r="B196" t="s">
        <v>18</v>
      </c>
      <c r="C196" t="s">
        <v>6</v>
      </c>
      <c r="D196" s="2">
        <v>3278</v>
      </c>
      <c r="E196" s="3">
        <v>42710</v>
      </c>
      <c r="F196" t="s">
        <v>12</v>
      </c>
    </row>
    <row r="197" spans="1:6" x14ac:dyDescent="0.3">
      <c r="A197">
        <v>196</v>
      </c>
      <c r="B197" t="s">
        <v>13</v>
      </c>
      <c r="C197" t="s">
        <v>5</v>
      </c>
      <c r="D197" s="2">
        <v>136</v>
      </c>
      <c r="E197" s="3">
        <v>42716</v>
      </c>
      <c r="F197" t="s">
        <v>10</v>
      </c>
    </row>
    <row r="198" spans="1:6" x14ac:dyDescent="0.3">
      <c r="A198">
        <v>197</v>
      </c>
      <c r="B198" t="s">
        <v>13</v>
      </c>
      <c r="C198" t="s">
        <v>5</v>
      </c>
      <c r="D198" s="2">
        <v>8377</v>
      </c>
      <c r="E198" s="3">
        <v>42716</v>
      </c>
      <c r="F198" t="s">
        <v>11</v>
      </c>
    </row>
    <row r="199" spans="1:6" x14ac:dyDescent="0.3">
      <c r="A199">
        <v>198</v>
      </c>
      <c r="B199" t="s">
        <v>13</v>
      </c>
      <c r="C199" t="s">
        <v>5</v>
      </c>
      <c r="D199" s="2">
        <v>2382</v>
      </c>
      <c r="E199" s="3">
        <v>42716</v>
      </c>
      <c r="F199" t="s">
        <v>8</v>
      </c>
    </row>
    <row r="200" spans="1:6" x14ac:dyDescent="0.3">
      <c r="A200">
        <v>199</v>
      </c>
      <c r="B200" t="s">
        <v>13</v>
      </c>
      <c r="C200" t="s">
        <v>5</v>
      </c>
      <c r="D200" s="2">
        <v>8702</v>
      </c>
      <c r="E200" s="3">
        <v>42719</v>
      </c>
      <c r="F200" t="s">
        <v>12</v>
      </c>
    </row>
    <row r="201" spans="1:6" x14ac:dyDescent="0.3">
      <c r="A201">
        <v>200</v>
      </c>
      <c r="B201" t="s">
        <v>13</v>
      </c>
      <c r="C201" t="s">
        <v>5</v>
      </c>
      <c r="D201" s="2">
        <v>5021</v>
      </c>
      <c r="E201" s="3">
        <v>42720</v>
      </c>
      <c r="F201" t="s">
        <v>8</v>
      </c>
    </row>
    <row r="202" spans="1:6" x14ac:dyDescent="0.3">
      <c r="A202">
        <v>201</v>
      </c>
      <c r="B202" t="s">
        <v>14</v>
      </c>
      <c r="C202" t="s">
        <v>5</v>
      </c>
      <c r="D202" s="2">
        <v>1760</v>
      </c>
      <c r="E202" s="3">
        <v>42720</v>
      </c>
      <c r="F202" t="s">
        <v>11</v>
      </c>
    </row>
    <row r="203" spans="1:6" x14ac:dyDescent="0.3">
      <c r="A203">
        <v>202</v>
      </c>
      <c r="B203" t="s">
        <v>13</v>
      </c>
      <c r="C203" t="s">
        <v>5</v>
      </c>
      <c r="D203" s="2">
        <v>4766</v>
      </c>
      <c r="E203" s="3">
        <v>42722</v>
      </c>
      <c r="F203" t="s">
        <v>12</v>
      </c>
    </row>
    <row r="204" spans="1:6" x14ac:dyDescent="0.3">
      <c r="A204">
        <v>203</v>
      </c>
      <c r="B204" t="s">
        <v>18</v>
      </c>
      <c r="C204" t="s">
        <v>6</v>
      </c>
      <c r="D204" s="2">
        <v>1541</v>
      </c>
      <c r="E204" s="3">
        <v>42723</v>
      </c>
      <c r="F204" t="s">
        <v>9</v>
      </c>
    </row>
    <row r="205" spans="1:6" x14ac:dyDescent="0.3">
      <c r="A205">
        <v>204</v>
      </c>
      <c r="B205" t="s">
        <v>15</v>
      </c>
      <c r="C205" t="s">
        <v>5</v>
      </c>
      <c r="D205" s="2">
        <v>2782</v>
      </c>
      <c r="E205" s="3">
        <v>42724</v>
      </c>
      <c r="F205" t="s">
        <v>9</v>
      </c>
    </row>
    <row r="206" spans="1:6" x14ac:dyDescent="0.3">
      <c r="A206">
        <v>205</v>
      </c>
      <c r="B206" t="s">
        <v>14</v>
      </c>
      <c r="C206" t="s">
        <v>5</v>
      </c>
      <c r="D206" s="2">
        <v>2455</v>
      </c>
      <c r="E206" s="3">
        <v>42724</v>
      </c>
      <c r="F206" t="s">
        <v>10</v>
      </c>
    </row>
    <row r="207" spans="1:6" x14ac:dyDescent="0.3">
      <c r="A207">
        <v>206</v>
      </c>
      <c r="B207" t="s">
        <v>14</v>
      </c>
      <c r="C207" t="s">
        <v>5</v>
      </c>
      <c r="D207" s="2">
        <v>4512</v>
      </c>
      <c r="E207" s="3">
        <v>42726</v>
      </c>
      <c r="F207" t="s">
        <v>20</v>
      </c>
    </row>
    <row r="208" spans="1:6" x14ac:dyDescent="0.3">
      <c r="A208">
        <v>207</v>
      </c>
      <c r="B208" t="s">
        <v>14</v>
      </c>
      <c r="C208" t="s">
        <v>5</v>
      </c>
      <c r="D208" s="2">
        <v>8752</v>
      </c>
      <c r="E208" s="3">
        <v>42726</v>
      </c>
      <c r="F208" t="s">
        <v>12</v>
      </c>
    </row>
    <row r="209" spans="1:6" x14ac:dyDescent="0.3">
      <c r="A209">
        <v>208</v>
      </c>
      <c r="B209" t="s">
        <v>17</v>
      </c>
      <c r="C209" t="s">
        <v>6</v>
      </c>
      <c r="D209" s="2">
        <v>9127</v>
      </c>
      <c r="E209" s="3">
        <v>42729</v>
      </c>
      <c r="F209" t="s">
        <v>8</v>
      </c>
    </row>
    <row r="210" spans="1:6" x14ac:dyDescent="0.3">
      <c r="A210">
        <v>209</v>
      </c>
      <c r="B210" t="s">
        <v>14</v>
      </c>
      <c r="C210" t="s">
        <v>5</v>
      </c>
      <c r="D210" s="2">
        <v>1777</v>
      </c>
      <c r="E210" s="3">
        <v>42732</v>
      </c>
      <c r="F210" t="s">
        <v>19</v>
      </c>
    </row>
    <row r="211" spans="1:6" x14ac:dyDescent="0.3">
      <c r="A211">
        <v>210</v>
      </c>
      <c r="B211" t="s">
        <v>18</v>
      </c>
      <c r="C211" t="s">
        <v>6</v>
      </c>
      <c r="D211" s="2">
        <v>680</v>
      </c>
      <c r="E211" s="3">
        <v>42732</v>
      </c>
      <c r="F211" t="s">
        <v>19</v>
      </c>
    </row>
    <row r="212" spans="1:6" x14ac:dyDescent="0.3">
      <c r="A212">
        <v>211</v>
      </c>
      <c r="B212" t="s">
        <v>15</v>
      </c>
      <c r="C212" t="s">
        <v>5</v>
      </c>
      <c r="D212" s="2">
        <v>958</v>
      </c>
      <c r="E212" s="3">
        <v>42733</v>
      </c>
      <c r="F212" t="s">
        <v>8</v>
      </c>
    </row>
    <row r="213" spans="1:6" x14ac:dyDescent="0.3">
      <c r="A213">
        <v>212</v>
      </c>
      <c r="B213" t="s">
        <v>17</v>
      </c>
      <c r="C213" t="s">
        <v>6</v>
      </c>
      <c r="D213" s="2">
        <v>2613</v>
      </c>
      <c r="E213" s="3">
        <v>42733</v>
      </c>
      <c r="F213" t="s">
        <v>11</v>
      </c>
    </row>
    <row r="214" spans="1:6" x14ac:dyDescent="0.3">
      <c r="A214">
        <v>213</v>
      </c>
      <c r="B214" t="s">
        <v>17</v>
      </c>
      <c r="C214" t="s">
        <v>6</v>
      </c>
      <c r="D214" s="2">
        <v>339</v>
      </c>
      <c r="E214" s="3">
        <v>42734</v>
      </c>
      <c r="F214" t="s">
        <v>11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9959-3B82-40FB-8AD0-FD38A2DFFBA8}">
  <dimension ref="A1:Z214"/>
  <sheetViews>
    <sheetView workbookViewId="0">
      <selection activeCell="C217" sqref="C217"/>
    </sheetView>
  </sheetViews>
  <sheetFormatPr defaultRowHeight="14.4" x14ac:dyDescent="0.3"/>
  <cols>
    <col min="1" max="1" width="10.5546875" customWidth="1"/>
    <col min="2" max="2" width="10" customWidth="1"/>
    <col min="3" max="3" width="11" bestFit="1" customWidth="1"/>
    <col min="4" max="4" width="10.33203125" customWidth="1"/>
    <col min="5" max="5" width="10.6640625" bestFit="1" customWidth="1"/>
    <col min="6" max="6" width="15.44140625" bestFit="1" customWidth="1"/>
    <col min="8" max="8" width="9.21875" customWidth="1"/>
    <col min="9" max="9" width="10.88671875" customWidth="1"/>
    <col min="11" max="11" width="9.77734375" bestFit="1" customWidth="1"/>
    <col min="12" max="12" width="16.33203125" bestFit="1" customWidth="1"/>
    <col min="13" max="13" width="12.44140625" customWidth="1"/>
  </cols>
  <sheetData>
    <row r="1" spans="1:26" x14ac:dyDescent="0.3">
      <c r="A1" s="1" t="s">
        <v>1</v>
      </c>
      <c r="B1" s="1" t="s">
        <v>2</v>
      </c>
      <c r="C1" s="1" t="s">
        <v>3</v>
      </c>
      <c r="D1" s="1" t="s">
        <v>4</v>
      </c>
      <c r="E1" s="1" t="s">
        <v>7</v>
      </c>
      <c r="F1" s="1" t="s">
        <v>0</v>
      </c>
    </row>
    <row r="2" spans="1:26" ht="15.6" x14ac:dyDescent="0.3">
      <c r="A2">
        <v>1</v>
      </c>
      <c r="B2" t="s">
        <v>17</v>
      </c>
      <c r="C2" t="s">
        <v>6</v>
      </c>
      <c r="D2" s="2">
        <v>4270</v>
      </c>
      <c r="E2" s="3">
        <v>42375</v>
      </c>
      <c r="F2" t="s">
        <v>8</v>
      </c>
      <c r="H2" s="30" t="s">
        <v>124</v>
      </c>
      <c r="I2" s="30"/>
      <c r="J2" s="27"/>
      <c r="K2" s="30" t="s">
        <v>125</v>
      </c>
      <c r="L2" s="30"/>
      <c r="T2" t="str" cm="1">
        <f t="array" ref="T2:T3">_xlfn.UNIQUE(Table1[Category])</f>
        <v>Vegetables</v>
      </c>
      <c r="V2" t="str" cm="1">
        <f t="array" ref="V2:V8">_xlfn.UNIQUE(Table1[Product])</f>
        <v>Carrots</v>
      </c>
      <c r="X2" t="str" cm="1">
        <f t="array" ref="X2:X3">_xlfn.UNIQUE(Category)</f>
        <v>Vegetables</v>
      </c>
      <c r="Z2" t="str" cm="1">
        <f t="array" ref="Z2:Z8">_xlfn.UNIQUE(Table1[Country])</f>
        <v>United States</v>
      </c>
    </row>
    <row r="3" spans="1:26" x14ac:dyDescent="0.3">
      <c r="A3">
        <v>2</v>
      </c>
      <c r="B3" t="s">
        <v>21</v>
      </c>
      <c r="C3" t="s">
        <v>6</v>
      </c>
      <c r="D3" s="2">
        <v>8239</v>
      </c>
      <c r="E3" s="3">
        <v>42376</v>
      </c>
      <c r="F3" t="s">
        <v>9</v>
      </c>
      <c r="H3" t="s">
        <v>122</v>
      </c>
      <c r="K3" t="s">
        <v>122</v>
      </c>
      <c r="T3" t="str">
        <v>Fruit</v>
      </c>
      <c r="V3" t="str">
        <v>Cabbage</v>
      </c>
      <c r="X3" t="str">
        <v>Fruit</v>
      </c>
      <c r="Z3" t="str">
        <v>United Kingdom</v>
      </c>
    </row>
    <row r="4" spans="1:26" x14ac:dyDescent="0.3">
      <c r="A4">
        <v>3</v>
      </c>
      <c r="B4" t="s">
        <v>13</v>
      </c>
      <c r="C4" t="s">
        <v>5</v>
      </c>
      <c r="D4" s="2">
        <v>617</v>
      </c>
      <c r="E4" s="3">
        <v>42377</v>
      </c>
      <c r="F4" t="s">
        <v>8</v>
      </c>
      <c r="H4" s="24"/>
      <c r="I4" t="s">
        <v>123</v>
      </c>
      <c r="K4" s="25"/>
      <c r="L4" t="s">
        <v>126</v>
      </c>
      <c r="V4" t="str">
        <v>Banana</v>
      </c>
      <c r="Z4" t="str">
        <v>Canada</v>
      </c>
    </row>
    <row r="5" spans="1:26" x14ac:dyDescent="0.3">
      <c r="A5">
        <v>4</v>
      </c>
      <c r="B5" t="s">
        <v>13</v>
      </c>
      <c r="C5" t="s">
        <v>5</v>
      </c>
      <c r="D5" s="2">
        <v>8384</v>
      </c>
      <c r="E5" s="3">
        <v>42379</v>
      </c>
      <c r="F5" t="s">
        <v>10</v>
      </c>
      <c r="H5" s="18"/>
      <c r="I5" t="s">
        <v>21</v>
      </c>
      <c r="K5" s="20"/>
      <c r="L5" t="s">
        <v>127</v>
      </c>
      <c r="V5" t="str">
        <v>Beans</v>
      </c>
      <c r="Z5" t="str">
        <v>Germany</v>
      </c>
    </row>
    <row r="6" spans="1:26" x14ac:dyDescent="0.3">
      <c r="A6">
        <v>5</v>
      </c>
      <c r="B6" t="s">
        <v>18</v>
      </c>
      <c r="C6" t="s">
        <v>6</v>
      </c>
      <c r="D6" s="2">
        <v>2626</v>
      </c>
      <c r="E6" s="3">
        <v>42379</v>
      </c>
      <c r="F6" t="s">
        <v>12</v>
      </c>
      <c r="H6" s="20"/>
      <c r="I6" t="s">
        <v>13</v>
      </c>
      <c r="K6" s="26"/>
      <c r="L6" t="s">
        <v>128</v>
      </c>
      <c r="V6" t="str">
        <v>Orange</v>
      </c>
      <c r="X6">
        <f>COUNTA(_xlfn.UNIQUE(Table1[Product]))</f>
        <v>7</v>
      </c>
      <c r="Z6" t="str">
        <v>Australia</v>
      </c>
    </row>
    <row r="7" spans="1:26" x14ac:dyDescent="0.3">
      <c r="A7">
        <v>6</v>
      </c>
      <c r="B7" t="s">
        <v>15</v>
      </c>
      <c r="C7" t="s">
        <v>5</v>
      </c>
      <c r="D7" s="2">
        <v>3610</v>
      </c>
      <c r="E7" s="3">
        <v>42380</v>
      </c>
      <c r="F7" t="s">
        <v>8</v>
      </c>
      <c r="H7" s="21"/>
      <c r="I7" t="s">
        <v>18</v>
      </c>
      <c r="K7" s="28"/>
      <c r="L7" t="s">
        <v>130</v>
      </c>
      <c r="V7" t="str">
        <v>Apple</v>
      </c>
      <c r="Z7" t="str">
        <v>New Zealand</v>
      </c>
    </row>
    <row r="8" spans="1:26" x14ac:dyDescent="0.3">
      <c r="A8">
        <v>7</v>
      </c>
      <c r="B8" t="s">
        <v>21</v>
      </c>
      <c r="C8" t="s">
        <v>6</v>
      </c>
      <c r="D8" s="2">
        <v>9062</v>
      </c>
      <c r="E8" s="3">
        <v>42380</v>
      </c>
      <c r="F8" t="s">
        <v>11</v>
      </c>
      <c r="H8" s="19"/>
      <c r="I8" t="s">
        <v>15</v>
      </c>
      <c r="K8" s="26"/>
      <c r="L8" t="s">
        <v>129</v>
      </c>
      <c r="V8" t="str">
        <v>Mango</v>
      </c>
      <c r="Z8" t="str">
        <v>France</v>
      </c>
    </row>
    <row r="9" spans="1:26" x14ac:dyDescent="0.3">
      <c r="A9">
        <v>8</v>
      </c>
      <c r="B9" t="s">
        <v>13</v>
      </c>
      <c r="C9" t="s">
        <v>5</v>
      </c>
      <c r="D9" s="2">
        <v>6906</v>
      </c>
      <c r="E9" s="3">
        <v>42385</v>
      </c>
      <c r="F9" t="s">
        <v>20</v>
      </c>
      <c r="H9" s="22"/>
      <c r="I9" t="s">
        <v>14</v>
      </c>
    </row>
    <row r="10" spans="1:26" x14ac:dyDescent="0.3">
      <c r="A10">
        <v>9</v>
      </c>
      <c r="B10" t="s">
        <v>14</v>
      </c>
      <c r="C10" t="s">
        <v>5</v>
      </c>
      <c r="D10" s="2">
        <v>2417</v>
      </c>
      <c r="E10" s="3">
        <v>42385</v>
      </c>
      <c r="F10" t="s">
        <v>19</v>
      </c>
      <c r="H10" s="23"/>
      <c r="I10" t="s">
        <v>16</v>
      </c>
    </row>
    <row r="11" spans="1:26" x14ac:dyDescent="0.3">
      <c r="A11">
        <v>10</v>
      </c>
      <c r="B11" t="s">
        <v>14</v>
      </c>
      <c r="C11" t="s">
        <v>5</v>
      </c>
      <c r="D11" s="2">
        <v>7431</v>
      </c>
      <c r="E11" s="3">
        <v>42385</v>
      </c>
      <c r="F11" t="s">
        <v>10</v>
      </c>
      <c r="I11" s="3"/>
    </row>
    <row r="12" spans="1:26" x14ac:dyDescent="0.3">
      <c r="A12">
        <v>11</v>
      </c>
      <c r="B12" t="s">
        <v>13</v>
      </c>
      <c r="C12" t="s">
        <v>5</v>
      </c>
      <c r="D12" s="2">
        <v>8250</v>
      </c>
      <c r="E12" s="3">
        <v>42385</v>
      </c>
      <c r="F12" t="s">
        <v>12</v>
      </c>
      <c r="I12" s="3"/>
    </row>
    <row r="13" spans="1:26" x14ac:dyDescent="0.3">
      <c r="A13">
        <v>12</v>
      </c>
      <c r="B13" t="s">
        <v>21</v>
      </c>
      <c r="C13" t="s">
        <v>6</v>
      </c>
      <c r="D13" s="2">
        <v>7012</v>
      </c>
      <c r="E13" s="3">
        <v>42387</v>
      </c>
      <c r="F13" t="s">
        <v>8</v>
      </c>
      <c r="I13" s="3"/>
    </row>
    <row r="14" spans="1:26" x14ac:dyDescent="0.3">
      <c r="A14">
        <v>13</v>
      </c>
      <c r="B14" t="s">
        <v>17</v>
      </c>
      <c r="C14" t="s">
        <v>6</v>
      </c>
      <c r="D14" s="2">
        <v>1903</v>
      </c>
      <c r="E14" s="3">
        <v>42389</v>
      </c>
      <c r="F14" t="s">
        <v>12</v>
      </c>
      <c r="I14" s="3"/>
    </row>
    <row r="15" spans="1:26" x14ac:dyDescent="0.3">
      <c r="A15">
        <v>14</v>
      </c>
      <c r="B15" t="s">
        <v>21</v>
      </c>
      <c r="C15" t="s">
        <v>6</v>
      </c>
      <c r="D15" s="2">
        <v>2824</v>
      </c>
      <c r="E15" s="3">
        <v>42391</v>
      </c>
      <c r="F15" t="s">
        <v>10</v>
      </c>
      <c r="I15" s="3"/>
    </row>
    <row r="16" spans="1:26" x14ac:dyDescent="0.3">
      <c r="A16">
        <v>15</v>
      </c>
      <c r="B16" t="s">
        <v>14</v>
      </c>
      <c r="C16" t="s">
        <v>5</v>
      </c>
      <c r="D16" s="2">
        <v>6946</v>
      </c>
      <c r="E16" s="3">
        <v>42393</v>
      </c>
      <c r="F16" t="s">
        <v>19</v>
      </c>
      <c r="I16" s="3"/>
    </row>
    <row r="17" spans="1:9" x14ac:dyDescent="0.3">
      <c r="A17">
        <v>16</v>
      </c>
      <c r="B17" t="s">
        <v>13</v>
      </c>
      <c r="C17" t="s">
        <v>5</v>
      </c>
      <c r="D17" s="2">
        <v>2320</v>
      </c>
      <c r="E17" s="3">
        <v>42396</v>
      </c>
      <c r="F17" t="s">
        <v>9</v>
      </c>
      <c r="I17" s="3"/>
    </row>
    <row r="18" spans="1:9" x14ac:dyDescent="0.3">
      <c r="A18">
        <v>17</v>
      </c>
      <c r="B18" t="s">
        <v>13</v>
      </c>
      <c r="C18" t="s">
        <v>5</v>
      </c>
      <c r="D18" s="2">
        <v>2116</v>
      </c>
      <c r="E18" s="3">
        <v>42397</v>
      </c>
      <c r="F18" t="s">
        <v>8</v>
      </c>
      <c r="I18" s="3"/>
    </row>
    <row r="19" spans="1:9" x14ac:dyDescent="0.3">
      <c r="A19">
        <v>18</v>
      </c>
      <c r="B19" t="s">
        <v>13</v>
      </c>
      <c r="C19" t="s">
        <v>5</v>
      </c>
      <c r="D19" s="2">
        <v>1135</v>
      </c>
      <c r="E19" s="3">
        <v>42399</v>
      </c>
      <c r="F19" t="s">
        <v>9</v>
      </c>
      <c r="I19" s="3"/>
    </row>
    <row r="20" spans="1:9" x14ac:dyDescent="0.3">
      <c r="A20">
        <v>19</v>
      </c>
      <c r="B20" t="s">
        <v>21</v>
      </c>
      <c r="C20" t="s">
        <v>6</v>
      </c>
      <c r="D20" s="2">
        <v>3595</v>
      </c>
      <c r="E20" s="3">
        <v>42399</v>
      </c>
      <c r="F20" t="s">
        <v>9</v>
      </c>
      <c r="I20" s="3"/>
    </row>
    <row r="21" spans="1:9" x14ac:dyDescent="0.3">
      <c r="A21">
        <v>20</v>
      </c>
      <c r="B21" t="s">
        <v>14</v>
      </c>
      <c r="C21" t="s">
        <v>5</v>
      </c>
      <c r="D21" s="2">
        <v>1161</v>
      </c>
      <c r="E21" s="3">
        <v>42402</v>
      </c>
      <c r="F21" t="s">
        <v>8</v>
      </c>
      <c r="I21" s="3"/>
    </row>
    <row r="22" spans="1:9" x14ac:dyDescent="0.3">
      <c r="A22">
        <v>21</v>
      </c>
      <c r="B22" t="s">
        <v>15</v>
      </c>
      <c r="C22" t="s">
        <v>5</v>
      </c>
      <c r="D22" s="2">
        <v>2256</v>
      </c>
      <c r="E22" s="3">
        <v>42404</v>
      </c>
      <c r="F22" t="s">
        <v>19</v>
      </c>
      <c r="I22" s="3"/>
    </row>
    <row r="23" spans="1:9" x14ac:dyDescent="0.3">
      <c r="A23">
        <v>22</v>
      </c>
      <c r="B23" t="s">
        <v>13</v>
      </c>
      <c r="C23" t="s">
        <v>5</v>
      </c>
      <c r="D23" s="2">
        <v>1004</v>
      </c>
      <c r="E23" s="3">
        <v>42411</v>
      </c>
      <c r="F23" t="s">
        <v>20</v>
      </c>
      <c r="I23" s="3"/>
    </row>
    <row r="24" spans="1:9" x14ac:dyDescent="0.3">
      <c r="A24">
        <v>23</v>
      </c>
      <c r="B24" t="s">
        <v>13</v>
      </c>
      <c r="C24" t="s">
        <v>5</v>
      </c>
      <c r="D24" s="2">
        <v>3642</v>
      </c>
      <c r="E24" s="3">
        <v>42414</v>
      </c>
      <c r="F24" t="s">
        <v>10</v>
      </c>
      <c r="I24" s="3"/>
    </row>
    <row r="25" spans="1:9" x14ac:dyDescent="0.3">
      <c r="A25">
        <v>24</v>
      </c>
      <c r="B25" t="s">
        <v>13</v>
      </c>
      <c r="C25" t="s">
        <v>5</v>
      </c>
      <c r="D25" s="2">
        <v>4582</v>
      </c>
      <c r="E25" s="3">
        <v>42417</v>
      </c>
      <c r="F25" t="s">
        <v>8</v>
      </c>
      <c r="I25" s="3"/>
    </row>
    <row r="26" spans="1:9" x14ac:dyDescent="0.3">
      <c r="A26">
        <v>25</v>
      </c>
      <c r="B26" t="s">
        <v>18</v>
      </c>
      <c r="C26" t="s">
        <v>6</v>
      </c>
      <c r="D26" s="2">
        <v>3559</v>
      </c>
      <c r="E26" s="3">
        <v>42417</v>
      </c>
      <c r="F26" t="s">
        <v>9</v>
      </c>
      <c r="I26" s="3"/>
    </row>
    <row r="27" spans="1:9" x14ac:dyDescent="0.3">
      <c r="A27">
        <v>26</v>
      </c>
      <c r="B27" t="s">
        <v>17</v>
      </c>
      <c r="C27" t="s">
        <v>6</v>
      </c>
      <c r="D27" s="2">
        <v>5154</v>
      </c>
      <c r="E27" s="3">
        <v>42417</v>
      </c>
      <c r="F27" t="s">
        <v>11</v>
      </c>
      <c r="I27" s="3"/>
    </row>
    <row r="28" spans="1:9" x14ac:dyDescent="0.3">
      <c r="A28">
        <v>27</v>
      </c>
      <c r="B28" t="s">
        <v>16</v>
      </c>
      <c r="C28" t="s">
        <v>5</v>
      </c>
      <c r="D28" s="2">
        <v>7388</v>
      </c>
      <c r="E28" s="3">
        <v>42418</v>
      </c>
      <c r="F28" t="s">
        <v>19</v>
      </c>
      <c r="I28" s="3"/>
    </row>
    <row r="29" spans="1:9" x14ac:dyDescent="0.3">
      <c r="A29">
        <v>28</v>
      </c>
      <c r="B29" t="s">
        <v>18</v>
      </c>
      <c r="C29" t="s">
        <v>6</v>
      </c>
      <c r="D29" s="2">
        <v>7163</v>
      </c>
      <c r="E29" s="3">
        <v>42418</v>
      </c>
      <c r="F29" t="s">
        <v>8</v>
      </c>
      <c r="I29" s="3"/>
    </row>
    <row r="30" spans="1:9" x14ac:dyDescent="0.3">
      <c r="A30">
        <v>29</v>
      </c>
      <c r="B30" t="s">
        <v>18</v>
      </c>
      <c r="C30" t="s">
        <v>6</v>
      </c>
      <c r="D30" s="2">
        <v>5101</v>
      </c>
      <c r="E30" s="3">
        <v>42420</v>
      </c>
      <c r="F30" t="s">
        <v>12</v>
      </c>
      <c r="I30" s="3"/>
    </row>
    <row r="31" spans="1:9" x14ac:dyDescent="0.3">
      <c r="A31">
        <v>30</v>
      </c>
      <c r="B31" t="s">
        <v>14</v>
      </c>
      <c r="C31" t="s">
        <v>5</v>
      </c>
      <c r="D31" s="2">
        <v>7602</v>
      </c>
      <c r="E31" s="3">
        <v>42421</v>
      </c>
      <c r="F31" t="s">
        <v>19</v>
      </c>
      <c r="I31" s="3"/>
    </row>
    <row r="32" spans="1:9" x14ac:dyDescent="0.3">
      <c r="A32">
        <v>31</v>
      </c>
      <c r="B32" t="s">
        <v>16</v>
      </c>
      <c r="C32" t="s">
        <v>5</v>
      </c>
      <c r="D32" s="2">
        <v>1641</v>
      </c>
      <c r="E32" s="3">
        <v>42422</v>
      </c>
      <c r="F32" t="s">
        <v>8</v>
      </c>
      <c r="I32" s="3"/>
    </row>
    <row r="33" spans="1:9" x14ac:dyDescent="0.3">
      <c r="A33">
        <v>32</v>
      </c>
      <c r="B33" t="s">
        <v>14</v>
      </c>
      <c r="C33" t="s">
        <v>5</v>
      </c>
      <c r="D33" s="2">
        <v>8892</v>
      </c>
      <c r="E33" s="3">
        <v>42423</v>
      </c>
      <c r="F33" t="s">
        <v>11</v>
      </c>
      <c r="I33" s="3"/>
    </row>
    <row r="34" spans="1:9" x14ac:dyDescent="0.3">
      <c r="A34">
        <v>33</v>
      </c>
      <c r="B34" t="s">
        <v>14</v>
      </c>
      <c r="C34" t="s">
        <v>5</v>
      </c>
      <c r="D34" s="2">
        <v>2060</v>
      </c>
      <c r="E34" s="3">
        <v>42429</v>
      </c>
      <c r="F34" t="s">
        <v>19</v>
      </c>
      <c r="I34" s="3"/>
    </row>
    <row r="35" spans="1:9" x14ac:dyDescent="0.3">
      <c r="A35">
        <v>34</v>
      </c>
      <c r="B35" t="s">
        <v>21</v>
      </c>
      <c r="C35" t="s">
        <v>6</v>
      </c>
      <c r="D35" s="2">
        <v>1557</v>
      </c>
      <c r="E35" s="3">
        <v>42429</v>
      </c>
      <c r="F35" t="s">
        <v>12</v>
      </c>
      <c r="I35" s="3"/>
    </row>
    <row r="36" spans="1:9" x14ac:dyDescent="0.3">
      <c r="A36">
        <v>35</v>
      </c>
      <c r="B36" t="s">
        <v>14</v>
      </c>
      <c r="C36" t="s">
        <v>5</v>
      </c>
      <c r="D36" s="2">
        <v>6509</v>
      </c>
      <c r="E36" s="3">
        <v>42430</v>
      </c>
      <c r="F36" t="s">
        <v>19</v>
      </c>
      <c r="I36" s="3"/>
    </row>
    <row r="37" spans="1:9" x14ac:dyDescent="0.3">
      <c r="A37">
        <v>36</v>
      </c>
      <c r="B37" t="s">
        <v>14</v>
      </c>
      <c r="C37" t="s">
        <v>5</v>
      </c>
      <c r="D37" s="2">
        <v>5718</v>
      </c>
      <c r="E37" s="3">
        <v>42433</v>
      </c>
      <c r="F37" t="s">
        <v>11</v>
      </c>
      <c r="I37" s="3"/>
    </row>
    <row r="38" spans="1:9" x14ac:dyDescent="0.3">
      <c r="A38">
        <v>37</v>
      </c>
      <c r="B38" t="s">
        <v>14</v>
      </c>
      <c r="C38" t="s">
        <v>5</v>
      </c>
      <c r="D38" s="2">
        <v>7655</v>
      </c>
      <c r="E38" s="3">
        <v>42434</v>
      </c>
      <c r="F38" t="s">
        <v>8</v>
      </c>
      <c r="I38" s="3"/>
    </row>
    <row r="39" spans="1:9" x14ac:dyDescent="0.3">
      <c r="A39">
        <v>38</v>
      </c>
      <c r="B39" t="s">
        <v>17</v>
      </c>
      <c r="C39" t="s">
        <v>6</v>
      </c>
      <c r="D39" s="2">
        <v>9116</v>
      </c>
      <c r="E39" s="3">
        <v>42434</v>
      </c>
      <c r="F39" t="s">
        <v>9</v>
      </c>
      <c r="I39" s="3"/>
    </row>
    <row r="40" spans="1:9" x14ac:dyDescent="0.3">
      <c r="A40">
        <v>39</v>
      </c>
      <c r="B40" t="s">
        <v>13</v>
      </c>
      <c r="C40" t="s">
        <v>5</v>
      </c>
      <c r="D40" s="2">
        <v>2795</v>
      </c>
      <c r="E40" s="3">
        <v>42444</v>
      </c>
      <c r="F40" t="s">
        <v>8</v>
      </c>
      <c r="I40" s="3"/>
    </row>
    <row r="41" spans="1:9" x14ac:dyDescent="0.3">
      <c r="A41">
        <v>40</v>
      </c>
      <c r="B41" t="s">
        <v>13</v>
      </c>
      <c r="C41" t="s">
        <v>5</v>
      </c>
      <c r="D41" s="2">
        <v>5084</v>
      </c>
      <c r="E41" s="3">
        <v>42444</v>
      </c>
      <c r="F41" t="s">
        <v>8</v>
      </c>
      <c r="I41" s="3"/>
    </row>
    <row r="42" spans="1:9" x14ac:dyDescent="0.3">
      <c r="A42">
        <v>41</v>
      </c>
      <c r="B42" t="s">
        <v>17</v>
      </c>
      <c r="C42" t="s">
        <v>6</v>
      </c>
      <c r="D42" s="2">
        <v>8941</v>
      </c>
      <c r="E42" s="3">
        <v>42444</v>
      </c>
      <c r="F42" t="s">
        <v>9</v>
      </c>
      <c r="I42" s="3"/>
    </row>
    <row r="43" spans="1:9" x14ac:dyDescent="0.3">
      <c r="A43">
        <v>42</v>
      </c>
      <c r="B43" t="s">
        <v>21</v>
      </c>
      <c r="C43" t="s">
        <v>6</v>
      </c>
      <c r="D43" s="2">
        <v>5341</v>
      </c>
      <c r="E43" s="3">
        <v>42445</v>
      </c>
      <c r="F43" t="s">
        <v>19</v>
      </c>
      <c r="I43" s="3"/>
    </row>
    <row r="44" spans="1:9" x14ac:dyDescent="0.3">
      <c r="A44">
        <v>43</v>
      </c>
      <c r="B44" t="s">
        <v>13</v>
      </c>
      <c r="C44" t="s">
        <v>5</v>
      </c>
      <c r="D44" s="2">
        <v>135</v>
      </c>
      <c r="E44" s="3">
        <v>42448</v>
      </c>
      <c r="F44" t="s">
        <v>10</v>
      </c>
      <c r="I44" s="3"/>
    </row>
    <row r="45" spans="1:9" x14ac:dyDescent="0.3">
      <c r="A45">
        <v>44</v>
      </c>
      <c r="B45" t="s">
        <v>13</v>
      </c>
      <c r="C45" t="s">
        <v>5</v>
      </c>
      <c r="D45" s="2">
        <v>9400</v>
      </c>
      <c r="E45" s="3">
        <v>42448</v>
      </c>
      <c r="F45" t="s">
        <v>11</v>
      </c>
      <c r="I45" s="3"/>
    </row>
    <row r="46" spans="1:9" x14ac:dyDescent="0.3">
      <c r="A46">
        <v>45</v>
      </c>
      <c r="B46" t="s">
        <v>18</v>
      </c>
      <c r="C46" t="s">
        <v>6</v>
      </c>
      <c r="D46" s="2">
        <v>6045</v>
      </c>
      <c r="E46" s="3">
        <v>42450</v>
      </c>
      <c r="F46" t="s">
        <v>12</v>
      </c>
      <c r="I46" s="3"/>
    </row>
    <row r="47" spans="1:9" x14ac:dyDescent="0.3">
      <c r="A47">
        <v>46</v>
      </c>
      <c r="B47" t="s">
        <v>14</v>
      </c>
      <c r="C47" t="s">
        <v>5</v>
      </c>
      <c r="D47" s="2">
        <v>5820</v>
      </c>
      <c r="E47" s="3">
        <v>42451</v>
      </c>
      <c r="F47" t="s">
        <v>20</v>
      </c>
      <c r="I47" s="3"/>
    </row>
    <row r="48" spans="1:9" x14ac:dyDescent="0.3">
      <c r="A48">
        <v>47</v>
      </c>
      <c r="B48" t="s">
        <v>15</v>
      </c>
      <c r="C48" t="s">
        <v>5</v>
      </c>
      <c r="D48" s="2">
        <v>8887</v>
      </c>
      <c r="E48" s="3">
        <v>42452</v>
      </c>
      <c r="F48" t="s">
        <v>12</v>
      </c>
      <c r="I48" s="3"/>
    </row>
    <row r="49" spans="1:9" x14ac:dyDescent="0.3">
      <c r="A49">
        <v>48</v>
      </c>
      <c r="B49" t="s">
        <v>15</v>
      </c>
      <c r="C49" t="s">
        <v>5</v>
      </c>
      <c r="D49" s="2">
        <v>6982</v>
      </c>
      <c r="E49" s="3">
        <v>42453</v>
      </c>
      <c r="F49" t="s">
        <v>8</v>
      </c>
      <c r="I49" s="3"/>
    </row>
    <row r="50" spans="1:9" x14ac:dyDescent="0.3">
      <c r="A50">
        <v>49</v>
      </c>
      <c r="B50" t="s">
        <v>13</v>
      </c>
      <c r="C50" t="s">
        <v>5</v>
      </c>
      <c r="D50" s="2">
        <v>4029</v>
      </c>
      <c r="E50" s="3">
        <v>42455</v>
      </c>
      <c r="F50" t="s">
        <v>11</v>
      </c>
      <c r="I50" s="3"/>
    </row>
    <row r="51" spans="1:9" x14ac:dyDescent="0.3">
      <c r="A51">
        <v>50</v>
      </c>
      <c r="B51" t="s">
        <v>17</v>
      </c>
      <c r="C51" t="s">
        <v>6</v>
      </c>
      <c r="D51" s="2">
        <v>3665</v>
      </c>
      <c r="E51" s="3">
        <v>42455</v>
      </c>
      <c r="F51" t="s">
        <v>12</v>
      </c>
      <c r="I51" s="3"/>
    </row>
    <row r="52" spans="1:9" x14ac:dyDescent="0.3">
      <c r="A52">
        <v>51</v>
      </c>
      <c r="B52" t="s">
        <v>13</v>
      </c>
      <c r="C52" t="s">
        <v>5</v>
      </c>
      <c r="D52" s="2">
        <v>4781</v>
      </c>
      <c r="E52" s="3">
        <v>42458</v>
      </c>
      <c r="F52" t="s">
        <v>19</v>
      </c>
      <c r="I52" s="3"/>
    </row>
    <row r="53" spans="1:9" x14ac:dyDescent="0.3">
      <c r="A53">
        <v>52</v>
      </c>
      <c r="B53" t="s">
        <v>16</v>
      </c>
      <c r="C53" t="s">
        <v>5</v>
      </c>
      <c r="D53" s="2">
        <v>3663</v>
      </c>
      <c r="E53" s="3">
        <v>42459</v>
      </c>
      <c r="F53" t="s">
        <v>11</v>
      </c>
      <c r="I53" s="3"/>
    </row>
    <row r="54" spans="1:9" x14ac:dyDescent="0.3">
      <c r="A54">
        <v>53</v>
      </c>
      <c r="B54" t="s">
        <v>14</v>
      </c>
      <c r="C54" t="s">
        <v>5</v>
      </c>
      <c r="D54" s="2">
        <v>6331</v>
      </c>
      <c r="E54" s="3">
        <v>42461</v>
      </c>
      <c r="F54" t="s">
        <v>19</v>
      </c>
      <c r="I54" s="3"/>
    </row>
    <row r="55" spans="1:9" x14ac:dyDescent="0.3">
      <c r="A55">
        <v>54</v>
      </c>
      <c r="B55" t="s">
        <v>14</v>
      </c>
      <c r="C55" t="s">
        <v>5</v>
      </c>
      <c r="D55" s="2">
        <v>4364</v>
      </c>
      <c r="E55" s="3">
        <v>42461</v>
      </c>
      <c r="F55" t="s">
        <v>10</v>
      </c>
      <c r="I55" s="3"/>
    </row>
    <row r="56" spans="1:9" x14ac:dyDescent="0.3">
      <c r="A56">
        <v>55</v>
      </c>
      <c r="B56" t="s">
        <v>17</v>
      </c>
      <c r="C56" t="s">
        <v>6</v>
      </c>
      <c r="D56" s="2">
        <v>607</v>
      </c>
      <c r="E56" s="3">
        <v>42463</v>
      </c>
      <c r="F56" t="s">
        <v>9</v>
      </c>
      <c r="I56" s="3"/>
    </row>
    <row r="57" spans="1:9" x14ac:dyDescent="0.3">
      <c r="A57">
        <v>56</v>
      </c>
      <c r="B57" t="s">
        <v>13</v>
      </c>
      <c r="C57" t="s">
        <v>5</v>
      </c>
      <c r="D57" s="2">
        <v>1054</v>
      </c>
      <c r="E57" s="3">
        <v>42466</v>
      </c>
      <c r="F57" t="s">
        <v>20</v>
      </c>
      <c r="I57" s="3"/>
    </row>
    <row r="58" spans="1:9" x14ac:dyDescent="0.3">
      <c r="A58">
        <v>57</v>
      </c>
      <c r="B58" t="s">
        <v>17</v>
      </c>
      <c r="C58" t="s">
        <v>6</v>
      </c>
      <c r="D58" s="2">
        <v>7659</v>
      </c>
      <c r="E58" s="3">
        <v>42466</v>
      </c>
      <c r="F58" t="s">
        <v>8</v>
      </c>
      <c r="I58" s="3"/>
    </row>
    <row r="59" spans="1:9" x14ac:dyDescent="0.3">
      <c r="A59">
        <v>58</v>
      </c>
      <c r="B59" t="s">
        <v>21</v>
      </c>
      <c r="C59" t="s">
        <v>6</v>
      </c>
      <c r="D59" s="2">
        <v>277</v>
      </c>
      <c r="E59" s="3">
        <v>42472</v>
      </c>
      <c r="F59" t="s">
        <v>12</v>
      </c>
      <c r="I59" s="3"/>
    </row>
    <row r="60" spans="1:9" x14ac:dyDescent="0.3">
      <c r="A60">
        <v>59</v>
      </c>
      <c r="B60" t="s">
        <v>13</v>
      </c>
      <c r="C60" t="s">
        <v>5</v>
      </c>
      <c r="D60" s="2">
        <v>235</v>
      </c>
      <c r="E60" s="3">
        <v>42477</v>
      </c>
      <c r="F60" t="s">
        <v>8</v>
      </c>
      <c r="I60" s="3"/>
    </row>
    <row r="61" spans="1:9" x14ac:dyDescent="0.3">
      <c r="A61">
        <v>60</v>
      </c>
      <c r="B61" t="s">
        <v>15</v>
      </c>
      <c r="C61" t="s">
        <v>5</v>
      </c>
      <c r="D61" s="2">
        <v>1113</v>
      </c>
      <c r="E61" s="3">
        <v>42478</v>
      </c>
      <c r="F61" t="s">
        <v>11</v>
      </c>
      <c r="I61" s="3"/>
    </row>
    <row r="62" spans="1:9" x14ac:dyDescent="0.3">
      <c r="A62">
        <v>61</v>
      </c>
      <c r="B62" t="s">
        <v>14</v>
      </c>
      <c r="C62" t="s">
        <v>5</v>
      </c>
      <c r="D62" s="2">
        <v>1128</v>
      </c>
      <c r="E62" s="3">
        <v>42481</v>
      </c>
      <c r="F62" t="s">
        <v>8</v>
      </c>
      <c r="I62" s="3"/>
    </row>
    <row r="63" spans="1:9" x14ac:dyDescent="0.3">
      <c r="A63">
        <v>62</v>
      </c>
      <c r="B63" t="s">
        <v>21</v>
      </c>
      <c r="C63" t="s">
        <v>6</v>
      </c>
      <c r="D63" s="2">
        <v>9231</v>
      </c>
      <c r="E63" s="3">
        <v>42482</v>
      </c>
      <c r="F63" t="s">
        <v>10</v>
      </c>
      <c r="I63" s="3"/>
    </row>
    <row r="64" spans="1:9" x14ac:dyDescent="0.3">
      <c r="A64">
        <v>63</v>
      </c>
      <c r="B64" t="s">
        <v>13</v>
      </c>
      <c r="C64" t="s">
        <v>5</v>
      </c>
      <c r="D64" s="2">
        <v>4387</v>
      </c>
      <c r="E64" s="3">
        <v>42483</v>
      </c>
      <c r="F64" t="s">
        <v>8</v>
      </c>
      <c r="I64" s="3"/>
    </row>
    <row r="65" spans="1:9" x14ac:dyDescent="0.3">
      <c r="A65">
        <v>64</v>
      </c>
      <c r="B65" t="s">
        <v>14</v>
      </c>
      <c r="C65" t="s">
        <v>5</v>
      </c>
      <c r="D65" s="2">
        <v>2763</v>
      </c>
      <c r="E65" s="3">
        <v>42485</v>
      </c>
      <c r="F65" t="s">
        <v>10</v>
      </c>
      <c r="I65" s="3"/>
    </row>
    <row r="66" spans="1:9" x14ac:dyDescent="0.3">
      <c r="A66">
        <v>65</v>
      </c>
      <c r="B66" t="s">
        <v>13</v>
      </c>
      <c r="C66" t="s">
        <v>5</v>
      </c>
      <c r="D66" s="2">
        <v>7898</v>
      </c>
      <c r="E66" s="3">
        <v>42487</v>
      </c>
      <c r="F66" t="s">
        <v>9</v>
      </c>
      <c r="I66" s="3"/>
    </row>
    <row r="67" spans="1:9" x14ac:dyDescent="0.3">
      <c r="A67">
        <v>66</v>
      </c>
      <c r="B67" t="s">
        <v>13</v>
      </c>
      <c r="C67" t="s">
        <v>5</v>
      </c>
      <c r="D67" s="2">
        <v>2427</v>
      </c>
      <c r="E67" s="3">
        <v>42490</v>
      </c>
      <c r="F67" t="s">
        <v>19</v>
      </c>
      <c r="I67" s="3"/>
    </row>
    <row r="68" spans="1:9" x14ac:dyDescent="0.3">
      <c r="A68">
        <v>67</v>
      </c>
      <c r="B68" t="s">
        <v>13</v>
      </c>
      <c r="C68" t="s">
        <v>5</v>
      </c>
      <c r="D68" s="2">
        <v>8663</v>
      </c>
      <c r="E68" s="3">
        <v>42491</v>
      </c>
      <c r="F68" t="s">
        <v>20</v>
      </c>
      <c r="I68" s="3"/>
    </row>
    <row r="69" spans="1:9" x14ac:dyDescent="0.3">
      <c r="A69">
        <v>68</v>
      </c>
      <c r="B69" t="s">
        <v>17</v>
      </c>
      <c r="C69" t="s">
        <v>6</v>
      </c>
      <c r="D69" s="2">
        <v>2789</v>
      </c>
      <c r="E69" s="3">
        <v>42491</v>
      </c>
      <c r="F69" t="s">
        <v>12</v>
      </c>
      <c r="I69" s="3"/>
    </row>
    <row r="70" spans="1:9" x14ac:dyDescent="0.3">
      <c r="A70">
        <v>69</v>
      </c>
      <c r="B70" t="s">
        <v>13</v>
      </c>
      <c r="C70" t="s">
        <v>5</v>
      </c>
      <c r="D70" s="2">
        <v>4054</v>
      </c>
      <c r="E70" s="3">
        <v>42492</v>
      </c>
      <c r="F70" t="s">
        <v>8</v>
      </c>
      <c r="I70" s="3"/>
    </row>
    <row r="71" spans="1:9" x14ac:dyDescent="0.3">
      <c r="A71">
        <v>70</v>
      </c>
      <c r="B71" t="s">
        <v>16</v>
      </c>
      <c r="C71" t="s">
        <v>5</v>
      </c>
      <c r="D71" s="2">
        <v>2262</v>
      </c>
      <c r="E71" s="3">
        <v>42492</v>
      </c>
      <c r="F71" t="s">
        <v>8</v>
      </c>
      <c r="I71" s="3"/>
    </row>
    <row r="72" spans="1:9" x14ac:dyDescent="0.3">
      <c r="A72">
        <v>71</v>
      </c>
      <c r="B72" t="s">
        <v>16</v>
      </c>
      <c r="C72" t="s">
        <v>5</v>
      </c>
      <c r="D72" s="2">
        <v>5600</v>
      </c>
      <c r="E72" s="3">
        <v>42492</v>
      </c>
      <c r="F72" t="s">
        <v>9</v>
      </c>
      <c r="I72" s="3"/>
    </row>
    <row r="73" spans="1:9" x14ac:dyDescent="0.3">
      <c r="A73">
        <v>72</v>
      </c>
      <c r="B73" t="s">
        <v>13</v>
      </c>
      <c r="C73" t="s">
        <v>5</v>
      </c>
      <c r="D73" s="2">
        <v>5787</v>
      </c>
      <c r="E73" s="3">
        <v>42493</v>
      </c>
      <c r="F73" t="s">
        <v>8</v>
      </c>
      <c r="I73" s="3"/>
    </row>
    <row r="74" spans="1:9" x14ac:dyDescent="0.3">
      <c r="A74">
        <v>73</v>
      </c>
      <c r="B74" t="s">
        <v>15</v>
      </c>
      <c r="C74" t="s">
        <v>5</v>
      </c>
      <c r="D74" s="2">
        <v>6295</v>
      </c>
      <c r="E74" s="3">
        <v>42493</v>
      </c>
      <c r="F74" t="s">
        <v>10</v>
      </c>
      <c r="I74" s="3"/>
    </row>
    <row r="75" spans="1:9" x14ac:dyDescent="0.3">
      <c r="A75">
        <v>74</v>
      </c>
      <c r="B75" t="s">
        <v>13</v>
      </c>
      <c r="C75" t="s">
        <v>5</v>
      </c>
      <c r="D75" s="2">
        <v>474</v>
      </c>
      <c r="E75" s="3">
        <v>42495</v>
      </c>
      <c r="F75" t="s">
        <v>12</v>
      </c>
      <c r="I75" s="3"/>
    </row>
    <row r="76" spans="1:9" x14ac:dyDescent="0.3">
      <c r="A76">
        <v>75</v>
      </c>
      <c r="B76" t="s">
        <v>14</v>
      </c>
      <c r="C76" t="s">
        <v>5</v>
      </c>
      <c r="D76" s="2">
        <v>4325</v>
      </c>
      <c r="E76" s="3">
        <v>42495</v>
      </c>
      <c r="F76" t="s">
        <v>19</v>
      </c>
      <c r="I76" s="3"/>
    </row>
    <row r="77" spans="1:9" x14ac:dyDescent="0.3">
      <c r="A77">
        <v>76</v>
      </c>
      <c r="B77" t="s">
        <v>13</v>
      </c>
      <c r="C77" t="s">
        <v>5</v>
      </c>
      <c r="D77" s="2">
        <v>592</v>
      </c>
      <c r="E77" s="3">
        <v>42496</v>
      </c>
      <c r="F77" t="s">
        <v>8</v>
      </c>
      <c r="I77" s="3"/>
    </row>
    <row r="78" spans="1:9" x14ac:dyDescent="0.3">
      <c r="A78">
        <v>77</v>
      </c>
      <c r="B78" t="s">
        <v>15</v>
      </c>
      <c r="C78" t="s">
        <v>5</v>
      </c>
      <c r="D78" s="2">
        <v>4330</v>
      </c>
      <c r="E78" s="3">
        <v>42498</v>
      </c>
      <c r="F78" t="s">
        <v>8</v>
      </c>
      <c r="I78" s="3"/>
    </row>
    <row r="79" spans="1:9" x14ac:dyDescent="0.3">
      <c r="A79">
        <v>78</v>
      </c>
      <c r="B79" t="s">
        <v>13</v>
      </c>
      <c r="C79" t="s">
        <v>5</v>
      </c>
      <c r="D79" s="2">
        <v>9405</v>
      </c>
      <c r="E79" s="3">
        <v>42498</v>
      </c>
      <c r="F79" t="s">
        <v>9</v>
      </c>
      <c r="I79" s="3"/>
    </row>
    <row r="80" spans="1:9" x14ac:dyDescent="0.3">
      <c r="A80">
        <v>79</v>
      </c>
      <c r="B80" t="s">
        <v>14</v>
      </c>
      <c r="C80" t="s">
        <v>5</v>
      </c>
      <c r="D80" s="2">
        <v>7671</v>
      </c>
      <c r="E80" s="3">
        <v>42498</v>
      </c>
      <c r="F80" t="s">
        <v>19</v>
      </c>
      <c r="I80" s="3"/>
    </row>
    <row r="81" spans="1:9" x14ac:dyDescent="0.3">
      <c r="A81">
        <v>80</v>
      </c>
      <c r="B81" t="s">
        <v>17</v>
      </c>
      <c r="C81" t="s">
        <v>6</v>
      </c>
      <c r="D81" s="2">
        <v>5791</v>
      </c>
      <c r="E81" s="3">
        <v>42498</v>
      </c>
      <c r="F81" t="s">
        <v>9</v>
      </c>
      <c r="I81" s="3"/>
    </row>
    <row r="82" spans="1:9" x14ac:dyDescent="0.3">
      <c r="A82">
        <v>81</v>
      </c>
      <c r="B82" t="s">
        <v>13</v>
      </c>
      <c r="C82" t="s">
        <v>5</v>
      </c>
      <c r="D82" s="2">
        <v>6007</v>
      </c>
      <c r="E82" s="3">
        <v>42502</v>
      </c>
      <c r="F82" t="s">
        <v>10</v>
      </c>
      <c r="I82" s="3"/>
    </row>
    <row r="83" spans="1:9" x14ac:dyDescent="0.3">
      <c r="A83">
        <v>82</v>
      </c>
      <c r="B83" t="s">
        <v>13</v>
      </c>
      <c r="C83" t="s">
        <v>5</v>
      </c>
      <c r="D83" s="2">
        <v>5030</v>
      </c>
      <c r="E83" s="3">
        <v>42504</v>
      </c>
      <c r="F83" t="s">
        <v>12</v>
      </c>
      <c r="I83" s="3"/>
    </row>
    <row r="84" spans="1:9" x14ac:dyDescent="0.3">
      <c r="A84">
        <v>83</v>
      </c>
      <c r="B84" t="s">
        <v>17</v>
      </c>
      <c r="C84" t="s">
        <v>6</v>
      </c>
      <c r="D84" s="2">
        <v>6763</v>
      </c>
      <c r="E84" s="3">
        <v>42504</v>
      </c>
      <c r="F84" t="s">
        <v>9</v>
      </c>
      <c r="I84" s="3"/>
    </row>
    <row r="85" spans="1:9" x14ac:dyDescent="0.3">
      <c r="A85">
        <v>84</v>
      </c>
      <c r="B85" t="s">
        <v>13</v>
      </c>
      <c r="C85" t="s">
        <v>5</v>
      </c>
      <c r="D85" s="2">
        <v>4248</v>
      </c>
      <c r="E85" s="3">
        <v>42505</v>
      </c>
      <c r="F85" t="s">
        <v>11</v>
      </c>
      <c r="I85" s="3"/>
    </row>
    <row r="86" spans="1:9" x14ac:dyDescent="0.3">
      <c r="A86">
        <v>85</v>
      </c>
      <c r="B86" t="s">
        <v>13</v>
      </c>
      <c r="C86" t="s">
        <v>5</v>
      </c>
      <c r="D86" s="2">
        <v>9543</v>
      </c>
      <c r="E86" s="3">
        <v>42506</v>
      </c>
      <c r="F86" t="s">
        <v>19</v>
      </c>
      <c r="I86" s="3"/>
    </row>
    <row r="87" spans="1:9" x14ac:dyDescent="0.3">
      <c r="A87">
        <v>86</v>
      </c>
      <c r="B87" t="s">
        <v>21</v>
      </c>
      <c r="C87" t="s">
        <v>6</v>
      </c>
      <c r="D87" s="2">
        <v>2054</v>
      </c>
      <c r="E87" s="3">
        <v>42506</v>
      </c>
      <c r="F87" t="s">
        <v>9</v>
      </c>
      <c r="I87" s="3"/>
    </row>
    <row r="88" spans="1:9" x14ac:dyDescent="0.3">
      <c r="A88">
        <v>87</v>
      </c>
      <c r="B88" t="s">
        <v>18</v>
      </c>
      <c r="C88" t="s">
        <v>6</v>
      </c>
      <c r="D88" s="2">
        <v>7094</v>
      </c>
      <c r="E88" s="3">
        <v>42506</v>
      </c>
      <c r="F88" t="s">
        <v>12</v>
      </c>
      <c r="I88" s="3"/>
    </row>
    <row r="89" spans="1:9" x14ac:dyDescent="0.3">
      <c r="A89">
        <v>88</v>
      </c>
      <c r="B89" t="s">
        <v>17</v>
      </c>
      <c r="C89" t="s">
        <v>6</v>
      </c>
      <c r="D89" s="2">
        <v>6087</v>
      </c>
      <c r="E89" s="3">
        <v>42508</v>
      </c>
      <c r="F89" t="s">
        <v>8</v>
      </c>
      <c r="I89" s="3"/>
    </row>
    <row r="90" spans="1:9" x14ac:dyDescent="0.3">
      <c r="A90">
        <v>89</v>
      </c>
      <c r="B90" t="s">
        <v>14</v>
      </c>
      <c r="C90" t="s">
        <v>5</v>
      </c>
      <c r="D90" s="2">
        <v>4264</v>
      </c>
      <c r="E90" s="3">
        <v>42509</v>
      </c>
      <c r="F90" t="s">
        <v>11</v>
      </c>
      <c r="I90" s="3"/>
    </row>
    <row r="91" spans="1:9" x14ac:dyDescent="0.3">
      <c r="A91">
        <v>90</v>
      </c>
      <c r="B91" t="s">
        <v>16</v>
      </c>
      <c r="C91" t="s">
        <v>5</v>
      </c>
      <c r="D91" s="2">
        <v>9333</v>
      </c>
      <c r="E91" s="3">
        <v>42510</v>
      </c>
      <c r="F91" t="s">
        <v>8</v>
      </c>
      <c r="I91" s="3"/>
    </row>
    <row r="92" spans="1:9" x14ac:dyDescent="0.3">
      <c r="A92">
        <v>91</v>
      </c>
      <c r="B92" t="s">
        <v>16</v>
      </c>
      <c r="C92" t="s">
        <v>5</v>
      </c>
      <c r="D92" s="2">
        <v>8775</v>
      </c>
      <c r="E92" s="3">
        <v>42512</v>
      </c>
      <c r="F92" t="s">
        <v>12</v>
      </c>
      <c r="I92" s="3"/>
    </row>
    <row r="93" spans="1:9" x14ac:dyDescent="0.3">
      <c r="A93">
        <v>92</v>
      </c>
      <c r="B93" t="s">
        <v>21</v>
      </c>
      <c r="C93" t="s">
        <v>6</v>
      </c>
      <c r="D93" s="2">
        <v>2011</v>
      </c>
      <c r="E93" s="3">
        <v>42513</v>
      </c>
      <c r="F93" t="s">
        <v>9</v>
      </c>
      <c r="I93" s="3"/>
    </row>
    <row r="94" spans="1:9" x14ac:dyDescent="0.3">
      <c r="A94">
        <v>93</v>
      </c>
      <c r="B94" t="s">
        <v>13</v>
      </c>
      <c r="C94" t="s">
        <v>5</v>
      </c>
      <c r="D94" s="2">
        <v>5632</v>
      </c>
      <c r="E94" s="3">
        <v>42515</v>
      </c>
      <c r="F94" t="s">
        <v>8</v>
      </c>
      <c r="I94" s="3"/>
    </row>
    <row r="95" spans="1:9" x14ac:dyDescent="0.3">
      <c r="A95">
        <v>94</v>
      </c>
      <c r="B95" t="s">
        <v>13</v>
      </c>
      <c r="C95" t="s">
        <v>5</v>
      </c>
      <c r="D95" s="2">
        <v>4904</v>
      </c>
      <c r="E95" s="3">
        <v>42515</v>
      </c>
      <c r="F95" t="s">
        <v>20</v>
      </c>
      <c r="I95" s="3"/>
    </row>
    <row r="96" spans="1:9" x14ac:dyDescent="0.3">
      <c r="A96">
        <v>95</v>
      </c>
      <c r="B96" t="s">
        <v>18</v>
      </c>
      <c r="C96" t="s">
        <v>6</v>
      </c>
      <c r="D96" s="2">
        <v>1002</v>
      </c>
      <c r="E96" s="3">
        <v>42515</v>
      </c>
      <c r="F96" t="s">
        <v>11</v>
      </c>
      <c r="I96" s="3"/>
    </row>
    <row r="97" spans="1:9" x14ac:dyDescent="0.3">
      <c r="A97">
        <v>96</v>
      </c>
      <c r="B97" t="s">
        <v>15</v>
      </c>
      <c r="C97" t="s">
        <v>5</v>
      </c>
      <c r="D97" s="2">
        <v>8141</v>
      </c>
      <c r="E97" s="3">
        <v>42516</v>
      </c>
      <c r="F97" t="s">
        <v>9</v>
      </c>
      <c r="I97" s="3"/>
    </row>
    <row r="98" spans="1:9" x14ac:dyDescent="0.3">
      <c r="A98">
        <v>97</v>
      </c>
      <c r="B98" t="s">
        <v>15</v>
      </c>
      <c r="C98" t="s">
        <v>5</v>
      </c>
      <c r="D98" s="2">
        <v>3644</v>
      </c>
      <c r="E98" s="3">
        <v>42516</v>
      </c>
      <c r="F98" t="s">
        <v>10</v>
      </c>
      <c r="I98" s="3"/>
    </row>
    <row r="99" spans="1:9" x14ac:dyDescent="0.3">
      <c r="A99">
        <v>98</v>
      </c>
      <c r="B99" t="s">
        <v>15</v>
      </c>
      <c r="C99" t="s">
        <v>5</v>
      </c>
      <c r="D99" s="2">
        <v>1380</v>
      </c>
      <c r="E99" s="3">
        <v>42516</v>
      </c>
      <c r="F99" t="s">
        <v>11</v>
      </c>
      <c r="I99" s="3"/>
    </row>
    <row r="100" spans="1:9" x14ac:dyDescent="0.3">
      <c r="A100">
        <v>99</v>
      </c>
      <c r="B100" t="s">
        <v>21</v>
      </c>
      <c r="C100" t="s">
        <v>6</v>
      </c>
      <c r="D100" s="2">
        <v>8354</v>
      </c>
      <c r="E100" s="3">
        <v>42516</v>
      </c>
      <c r="F100" t="s">
        <v>12</v>
      </c>
      <c r="I100" s="3"/>
    </row>
    <row r="101" spans="1:9" x14ac:dyDescent="0.3">
      <c r="A101">
        <v>100</v>
      </c>
      <c r="B101" t="s">
        <v>13</v>
      </c>
      <c r="C101" t="s">
        <v>5</v>
      </c>
      <c r="D101" s="2">
        <v>5182</v>
      </c>
      <c r="E101" s="3">
        <v>42517</v>
      </c>
      <c r="F101" t="s">
        <v>8</v>
      </c>
      <c r="I101" s="3"/>
    </row>
    <row r="102" spans="1:9" x14ac:dyDescent="0.3">
      <c r="A102">
        <v>101</v>
      </c>
      <c r="B102" t="s">
        <v>14</v>
      </c>
      <c r="C102" t="s">
        <v>5</v>
      </c>
      <c r="D102" s="2">
        <v>2193</v>
      </c>
      <c r="E102" s="3">
        <v>42517</v>
      </c>
      <c r="F102" t="s">
        <v>19</v>
      </c>
      <c r="I102" s="3"/>
    </row>
    <row r="103" spans="1:9" x14ac:dyDescent="0.3">
      <c r="A103">
        <v>102</v>
      </c>
      <c r="B103" t="s">
        <v>16</v>
      </c>
      <c r="C103" t="s">
        <v>5</v>
      </c>
      <c r="D103" s="2">
        <v>3647</v>
      </c>
      <c r="E103" s="3">
        <v>42518</v>
      </c>
      <c r="F103" t="s">
        <v>8</v>
      </c>
      <c r="I103" s="3"/>
    </row>
    <row r="104" spans="1:9" x14ac:dyDescent="0.3">
      <c r="A104">
        <v>103</v>
      </c>
      <c r="B104" t="s">
        <v>14</v>
      </c>
      <c r="C104" t="s">
        <v>5</v>
      </c>
      <c r="D104" s="2">
        <v>4104</v>
      </c>
      <c r="E104" s="3">
        <v>42518</v>
      </c>
      <c r="F104" t="s">
        <v>8</v>
      </c>
      <c r="I104" s="3"/>
    </row>
    <row r="105" spans="1:9" x14ac:dyDescent="0.3">
      <c r="A105">
        <v>104</v>
      </c>
      <c r="B105" t="s">
        <v>17</v>
      </c>
      <c r="C105" t="s">
        <v>6</v>
      </c>
      <c r="D105" s="2">
        <v>7457</v>
      </c>
      <c r="E105" s="3">
        <v>42518</v>
      </c>
      <c r="F105" t="s">
        <v>8</v>
      </c>
      <c r="I105" s="3"/>
    </row>
    <row r="106" spans="1:9" x14ac:dyDescent="0.3">
      <c r="A106">
        <v>105</v>
      </c>
      <c r="B106" t="s">
        <v>16</v>
      </c>
      <c r="C106" t="s">
        <v>5</v>
      </c>
      <c r="D106" s="2">
        <v>3767</v>
      </c>
      <c r="E106" s="3">
        <v>42519</v>
      </c>
      <c r="F106" t="s">
        <v>10</v>
      </c>
      <c r="I106" s="3"/>
    </row>
    <row r="107" spans="1:9" x14ac:dyDescent="0.3">
      <c r="A107">
        <v>106</v>
      </c>
      <c r="B107" t="s">
        <v>21</v>
      </c>
      <c r="C107" t="s">
        <v>6</v>
      </c>
      <c r="D107" s="2">
        <v>4685</v>
      </c>
      <c r="E107" s="3">
        <v>42520</v>
      </c>
      <c r="F107" t="s">
        <v>12</v>
      </c>
      <c r="I107" s="3"/>
    </row>
    <row r="108" spans="1:9" x14ac:dyDescent="0.3">
      <c r="A108">
        <v>107</v>
      </c>
      <c r="B108" t="s">
        <v>13</v>
      </c>
      <c r="C108" t="s">
        <v>5</v>
      </c>
      <c r="D108" s="2">
        <v>3917</v>
      </c>
      <c r="E108" s="3">
        <v>42525</v>
      </c>
      <c r="F108" t="s">
        <v>8</v>
      </c>
      <c r="I108" s="3"/>
    </row>
    <row r="109" spans="1:9" x14ac:dyDescent="0.3">
      <c r="A109">
        <v>108</v>
      </c>
      <c r="B109" t="s">
        <v>14</v>
      </c>
      <c r="C109" t="s">
        <v>5</v>
      </c>
      <c r="D109" s="2">
        <v>521</v>
      </c>
      <c r="E109" s="3">
        <v>42525</v>
      </c>
      <c r="F109" t="s">
        <v>10</v>
      </c>
      <c r="I109" s="3"/>
    </row>
    <row r="110" spans="1:9" x14ac:dyDescent="0.3">
      <c r="A110">
        <v>109</v>
      </c>
      <c r="B110" t="s">
        <v>14</v>
      </c>
      <c r="C110" t="s">
        <v>5</v>
      </c>
      <c r="D110" s="2">
        <v>5605</v>
      </c>
      <c r="E110" s="3">
        <v>42531</v>
      </c>
      <c r="F110" t="s">
        <v>19</v>
      </c>
      <c r="I110" s="3"/>
    </row>
    <row r="111" spans="1:9" x14ac:dyDescent="0.3">
      <c r="A111">
        <v>110</v>
      </c>
      <c r="B111" t="s">
        <v>21</v>
      </c>
      <c r="C111" t="s">
        <v>6</v>
      </c>
      <c r="D111" s="2">
        <v>9630</v>
      </c>
      <c r="E111" s="3">
        <v>42532</v>
      </c>
      <c r="F111" t="s">
        <v>12</v>
      </c>
      <c r="I111" s="3"/>
    </row>
    <row r="112" spans="1:9" x14ac:dyDescent="0.3">
      <c r="A112">
        <v>111</v>
      </c>
      <c r="B112" t="s">
        <v>13</v>
      </c>
      <c r="C112" t="s">
        <v>5</v>
      </c>
      <c r="D112" s="2">
        <v>6941</v>
      </c>
      <c r="E112" s="3">
        <v>42541</v>
      </c>
      <c r="F112" t="s">
        <v>10</v>
      </c>
      <c r="I112" s="3"/>
    </row>
    <row r="113" spans="1:9" x14ac:dyDescent="0.3">
      <c r="A113">
        <v>112</v>
      </c>
      <c r="B113" t="s">
        <v>21</v>
      </c>
      <c r="C113" t="s">
        <v>6</v>
      </c>
      <c r="D113" s="2">
        <v>7231</v>
      </c>
      <c r="E113" s="3">
        <v>42541</v>
      </c>
      <c r="F113" t="s">
        <v>9</v>
      </c>
      <c r="I113" s="3"/>
    </row>
    <row r="114" spans="1:9" x14ac:dyDescent="0.3">
      <c r="A114">
        <v>113</v>
      </c>
      <c r="B114" t="s">
        <v>21</v>
      </c>
      <c r="C114" t="s">
        <v>6</v>
      </c>
      <c r="D114" s="2">
        <v>8891</v>
      </c>
      <c r="E114" s="3">
        <v>42544</v>
      </c>
      <c r="F114" t="s">
        <v>11</v>
      </c>
      <c r="I114" s="3"/>
    </row>
    <row r="115" spans="1:9" x14ac:dyDescent="0.3">
      <c r="A115">
        <v>114</v>
      </c>
      <c r="B115" t="s">
        <v>13</v>
      </c>
      <c r="C115" t="s">
        <v>5</v>
      </c>
      <c r="D115" s="2">
        <v>107</v>
      </c>
      <c r="E115" s="3">
        <v>42546</v>
      </c>
      <c r="F115" t="s">
        <v>19</v>
      </c>
      <c r="I115" s="3"/>
    </row>
    <row r="116" spans="1:9" x14ac:dyDescent="0.3">
      <c r="A116">
        <v>115</v>
      </c>
      <c r="B116" t="s">
        <v>13</v>
      </c>
      <c r="C116" t="s">
        <v>5</v>
      </c>
      <c r="D116" s="2">
        <v>4243</v>
      </c>
      <c r="E116" s="3">
        <v>42547</v>
      </c>
      <c r="F116" t="s">
        <v>8</v>
      </c>
    </row>
    <row r="117" spans="1:9" x14ac:dyDescent="0.3">
      <c r="A117">
        <v>116</v>
      </c>
      <c r="B117" t="s">
        <v>15</v>
      </c>
      <c r="C117" t="s">
        <v>5</v>
      </c>
      <c r="D117" s="2">
        <v>4514</v>
      </c>
      <c r="E117" s="3">
        <v>42548</v>
      </c>
      <c r="F117" t="s">
        <v>8</v>
      </c>
      <c r="I117" s="3"/>
    </row>
    <row r="118" spans="1:9" x14ac:dyDescent="0.3">
      <c r="A118">
        <v>117</v>
      </c>
      <c r="B118" t="s">
        <v>16</v>
      </c>
      <c r="C118" t="s">
        <v>5</v>
      </c>
      <c r="D118" s="2">
        <v>5480</v>
      </c>
      <c r="E118" s="3">
        <v>42553</v>
      </c>
      <c r="F118" t="s">
        <v>8</v>
      </c>
      <c r="I118" s="3"/>
    </row>
    <row r="119" spans="1:9" x14ac:dyDescent="0.3">
      <c r="A119">
        <v>118</v>
      </c>
      <c r="B119" t="s">
        <v>13</v>
      </c>
      <c r="C119" t="s">
        <v>5</v>
      </c>
      <c r="D119" s="2">
        <v>5002</v>
      </c>
      <c r="E119" s="3">
        <v>42553</v>
      </c>
      <c r="F119" t="s">
        <v>19</v>
      </c>
      <c r="I119" s="3"/>
    </row>
    <row r="120" spans="1:9" x14ac:dyDescent="0.3">
      <c r="A120">
        <v>119</v>
      </c>
      <c r="B120" t="s">
        <v>13</v>
      </c>
      <c r="C120" t="s">
        <v>5</v>
      </c>
      <c r="D120" s="2">
        <v>8530</v>
      </c>
      <c r="E120" s="3">
        <v>42556</v>
      </c>
      <c r="F120" t="s">
        <v>10</v>
      </c>
      <c r="I120" s="3"/>
    </row>
    <row r="121" spans="1:9" x14ac:dyDescent="0.3">
      <c r="A121">
        <v>120</v>
      </c>
      <c r="B121" t="s">
        <v>15</v>
      </c>
      <c r="C121" t="s">
        <v>5</v>
      </c>
      <c r="D121" s="2">
        <v>4819</v>
      </c>
      <c r="E121" s="3">
        <v>42558</v>
      </c>
      <c r="F121" t="s">
        <v>20</v>
      </c>
      <c r="I121" s="3"/>
    </row>
    <row r="122" spans="1:9" x14ac:dyDescent="0.3">
      <c r="A122">
        <v>121</v>
      </c>
      <c r="B122" t="s">
        <v>21</v>
      </c>
      <c r="C122" t="s">
        <v>6</v>
      </c>
      <c r="D122" s="2">
        <v>6343</v>
      </c>
      <c r="E122" s="3">
        <v>42562</v>
      </c>
      <c r="F122" t="s">
        <v>9</v>
      </c>
      <c r="I122" s="3"/>
    </row>
    <row r="123" spans="1:9" x14ac:dyDescent="0.3">
      <c r="A123">
        <v>122</v>
      </c>
      <c r="B123" t="s">
        <v>15</v>
      </c>
      <c r="C123" t="s">
        <v>5</v>
      </c>
      <c r="D123" s="2">
        <v>2318</v>
      </c>
      <c r="E123" s="3">
        <v>42564</v>
      </c>
      <c r="F123" t="s">
        <v>9</v>
      </c>
      <c r="I123" s="3"/>
    </row>
    <row r="124" spans="1:9" x14ac:dyDescent="0.3">
      <c r="A124">
        <v>123</v>
      </c>
      <c r="B124" t="s">
        <v>15</v>
      </c>
      <c r="C124" t="s">
        <v>5</v>
      </c>
      <c r="D124" s="2">
        <v>220</v>
      </c>
      <c r="E124" s="3">
        <v>42571</v>
      </c>
      <c r="F124" t="s">
        <v>9</v>
      </c>
      <c r="I124" s="3"/>
    </row>
    <row r="125" spans="1:9" x14ac:dyDescent="0.3">
      <c r="A125">
        <v>124</v>
      </c>
      <c r="B125" t="s">
        <v>15</v>
      </c>
      <c r="C125" t="s">
        <v>5</v>
      </c>
      <c r="D125" s="2">
        <v>6341</v>
      </c>
      <c r="E125" s="3">
        <v>42571</v>
      </c>
      <c r="F125" t="s">
        <v>20</v>
      </c>
    </row>
    <row r="126" spans="1:9" x14ac:dyDescent="0.3">
      <c r="A126">
        <v>125</v>
      </c>
      <c r="B126" t="s">
        <v>14</v>
      </c>
      <c r="C126" t="s">
        <v>5</v>
      </c>
      <c r="D126" s="2">
        <v>330</v>
      </c>
      <c r="E126" s="3">
        <v>42571</v>
      </c>
      <c r="F126" t="s">
        <v>12</v>
      </c>
      <c r="I126" s="3"/>
    </row>
    <row r="127" spans="1:9" x14ac:dyDescent="0.3">
      <c r="A127">
        <v>126</v>
      </c>
      <c r="B127" t="s">
        <v>21</v>
      </c>
      <c r="C127" t="s">
        <v>6</v>
      </c>
      <c r="D127" s="2">
        <v>3027</v>
      </c>
      <c r="E127" s="3">
        <v>42571</v>
      </c>
      <c r="F127" t="s">
        <v>9</v>
      </c>
      <c r="I127" s="3"/>
    </row>
    <row r="128" spans="1:9" x14ac:dyDescent="0.3">
      <c r="A128">
        <v>127</v>
      </c>
      <c r="B128" t="s">
        <v>15</v>
      </c>
      <c r="C128" t="s">
        <v>5</v>
      </c>
      <c r="D128" s="2">
        <v>850</v>
      </c>
      <c r="E128" s="3">
        <v>42573</v>
      </c>
      <c r="F128" t="s">
        <v>20</v>
      </c>
      <c r="I128" s="3"/>
    </row>
    <row r="129" spans="1:9" x14ac:dyDescent="0.3">
      <c r="A129">
        <v>128</v>
      </c>
      <c r="B129" t="s">
        <v>13</v>
      </c>
      <c r="C129" t="s">
        <v>5</v>
      </c>
      <c r="D129" s="2">
        <v>8986</v>
      </c>
      <c r="E129" s="3">
        <v>42574</v>
      </c>
      <c r="F129" t="s">
        <v>9</v>
      </c>
      <c r="I129" s="3"/>
    </row>
    <row r="130" spans="1:9" x14ac:dyDescent="0.3">
      <c r="A130">
        <v>129</v>
      </c>
      <c r="B130" t="s">
        <v>21</v>
      </c>
      <c r="C130" t="s">
        <v>6</v>
      </c>
      <c r="D130" s="2">
        <v>3800</v>
      </c>
      <c r="E130" s="3">
        <v>42576</v>
      </c>
      <c r="F130" t="s">
        <v>8</v>
      </c>
      <c r="I130" s="3"/>
    </row>
    <row r="131" spans="1:9" x14ac:dyDescent="0.3">
      <c r="A131">
        <v>130</v>
      </c>
      <c r="B131" t="s">
        <v>17</v>
      </c>
      <c r="C131" t="s">
        <v>6</v>
      </c>
      <c r="D131" s="2">
        <v>5751</v>
      </c>
      <c r="E131" s="3">
        <v>42579</v>
      </c>
      <c r="F131" t="s">
        <v>9</v>
      </c>
      <c r="I131" s="3"/>
    </row>
    <row r="132" spans="1:9" x14ac:dyDescent="0.3">
      <c r="A132">
        <v>131</v>
      </c>
      <c r="B132" t="s">
        <v>14</v>
      </c>
      <c r="C132" t="s">
        <v>5</v>
      </c>
      <c r="D132" s="2">
        <v>1704</v>
      </c>
      <c r="E132" s="3">
        <v>42580</v>
      </c>
      <c r="F132" t="s">
        <v>9</v>
      </c>
      <c r="I132" s="3"/>
    </row>
    <row r="133" spans="1:9" x14ac:dyDescent="0.3">
      <c r="A133">
        <v>132</v>
      </c>
      <c r="B133" t="s">
        <v>13</v>
      </c>
      <c r="C133" t="s">
        <v>5</v>
      </c>
      <c r="D133" s="2">
        <v>7966</v>
      </c>
      <c r="E133" s="3">
        <v>42581</v>
      </c>
      <c r="F133" t="s">
        <v>11</v>
      </c>
      <c r="I133" s="3"/>
    </row>
    <row r="134" spans="1:9" x14ac:dyDescent="0.3">
      <c r="A134">
        <v>133</v>
      </c>
      <c r="B134" t="s">
        <v>13</v>
      </c>
      <c r="C134" t="s">
        <v>5</v>
      </c>
      <c r="D134" s="2">
        <v>852</v>
      </c>
      <c r="E134" s="3">
        <v>42582</v>
      </c>
      <c r="F134" t="s">
        <v>8</v>
      </c>
      <c r="I134" s="3"/>
    </row>
    <row r="135" spans="1:9" x14ac:dyDescent="0.3">
      <c r="A135">
        <v>134</v>
      </c>
      <c r="B135" t="s">
        <v>18</v>
      </c>
      <c r="C135" t="s">
        <v>6</v>
      </c>
      <c r="D135" s="2">
        <v>8416</v>
      </c>
      <c r="E135" s="3">
        <v>42582</v>
      </c>
      <c r="F135" t="s">
        <v>11</v>
      </c>
      <c r="I135" s="3"/>
    </row>
    <row r="136" spans="1:9" x14ac:dyDescent="0.3">
      <c r="A136">
        <v>135</v>
      </c>
      <c r="B136" t="s">
        <v>13</v>
      </c>
      <c r="C136" t="s">
        <v>5</v>
      </c>
      <c r="D136" s="2">
        <v>7144</v>
      </c>
      <c r="E136" s="3">
        <v>42583</v>
      </c>
      <c r="F136" t="s">
        <v>19</v>
      </c>
      <c r="I136" s="3"/>
    </row>
    <row r="137" spans="1:9" x14ac:dyDescent="0.3">
      <c r="A137">
        <v>136</v>
      </c>
      <c r="B137" t="s">
        <v>21</v>
      </c>
      <c r="C137" t="s">
        <v>6</v>
      </c>
      <c r="D137" s="2">
        <v>7854</v>
      </c>
      <c r="E137" s="3">
        <v>42583</v>
      </c>
      <c r="F137" t="s">
        <v>8</v>
      </c>
      <c r="I137" s="3"/>
    </row>
    <row r="138" spans="1:9" x14ac:dyDescent="0.3">
      <c r="A138">
        <v>137</v>
      </c>
      <c r="B138" t="s">
        <v>15</v>
      </c>
      <c r="C138" t="s">
        <v>5</v>
      </c>
      <c r="D138" s="2">
        <v>859</v>
      </c>
      <c r="E138" s="3">
        <v>42585</v>
      </c>
      <c r="F138" t="s">
        <v>8</v>
      </c>
      <c r="I138" s="3"/>
    </row>
    <row r="139" spans="1:9" x14ac:dyDescent="0.3">
      <c r="A139">
        <v>138</v>
      </c>
      <c r="B139" t="s">
        <v>21</v>
      </c>
      <c r="C139" t="s">
        <v>6</v>
      </c>
      <c r="D139" s="2">
        <v>8049</v>
      </c>
      <c r="E139" s="3">
        <v>42594</v>
      </c>
      <c r="F139" t="s">
        <v>8</v>
      </c>
      <c r="I139" s="3"/>
    </row>
    <row r="140" spans="1:9" x14ac:dyDescent="0.3">
      <c r="A140">
        <v>139</v>
      </c>
      <c r="B140" t="s">
        <v>13</v>
      </c>
      <c r="C140" t="s">
        <v>5</v>
      </c>
      <c r="D140" s="2">
        <v>2836</v>
      </c>
      <c r="E140" s="3">
        <v>42595</v>
      </c>
      <c r="F140" t="s">
        <v>12</v>
      </c>
      <c r="I140" s="3"/>
    </row>
    <row r="141" spans="1:9" x14ac:dyDescent="0.3">
      <c r="A141">
        <v>140</v>
      </c>
      <c r="B141" t="s">
        <v>17</v>
      </c>
      <c r="C141" t="s">
        <v>6</v>
      </c>
      <c r="D141" s="2">
        <v>1743</v>
      </c>
      <c r="E141" s="3">
        <v>42601</v>
      </c>
      <c r="F141" t="s">
        <v>8</v>
      </c>
      <c r="I141" s="3"/>
    </row>
    <row r="142" spans="1:9" x14ac:dyDescent="0.3">
      <c r="A142">
        <v>141</v>
      </c>
      <c r="B142" t="s">
        <v>14</v>
      </c>
      <c r="C142" t="s">
        <v>5</v>
      </c>
      <c r="D142" s="2">
        <v>3844</v>
      </c>
      <c r="E142" s="3">
        <v>42605</v>
      </c>
      <c r="F142" t="s">
        <v>19</v>
      </c>
      <c r="I142" s="3"/>
    </row>
    <row r="143" spans="1:9" x14ac:dyDescent="0.3">
      <c r="A143">
        <v>142</v>
      </c>
      <c r="B143" t="s">
        <v>14</v>
      </c>
      <c r="C143" t="s">
        <v>5</v>
      </c>
      <c r="D143" s="2">
        <v>7490</v>
      </c>
      <c r="E143" s="3">
        <v>42606</v>
      </c>
      <c r="F143" t="s">
        <v>19</v>
      </c>
      <c r="I143" s="3"/>
    </row>
    <row r="144" spans="1:9" x14ac:dyDescent="0.3">
      <c r="A144">
        <v>143</v>
      </c>
      <c r="B144" t="s">
        <v>21</v>
      </c>
      <c r="C144" t="s">
        <v>6</v>
      </c>
      <c r="D144" s="2">
        <v>4483</v>
      </c>
      <c r="E144" s="3">
        <v>42607</v>
      </c>
      <c r="F144" t="s">
        <v>12</v>
      </c>
      <c r="I144" s="3"/>
    </row>
    <row r="145" spans="1:9" x14ac:dyDescent="0.3">
      <c r="A145">
        <v>144</v>
      </c>
      <c r="B145" t="s">
        <v>14</v>
      </c>
      <c r="C145" t="s">
        <v>5</v>
      </c>
      <c r="D145" s="2">
        <v>7333</v>
      </c>
      <c r="E145" s="3">
        <v>42609</v>
      </c>
      <c r="F145" t="s">
        <v>10</v>
      </c>
      <c r="I145" s="3"/>
    </row>
    <row r="146" spans="1:9" x14ac:dyDescent="0.3">
      <c r="A146">
        <v>145</v>
      </c>
      <c r="B146" t="s">
        <v>17</v>
      </c>
      <c r="C146" t="s">
        <v>6</v>
      </c>
      <c r="D146" s="2">
        <v>7654</v>
      </c>
      <c r="E146" s="3">
        <v>42610</v>
      </c>
      <c r="F146" t="s">
        <v>8</v>
      </c>
      <c r="I146" s="3"/>
    </row>
    <row r="147" spans="1:9" x14ac:dyDescent="0.3">
      <c r="A147">
        <v>146</v>
      </c>
      <c r="B147" t="s">
        <v>14</v>
      </c>
      <c r="C147" t="s">
        <v>5</v>
      </c>
      <c r="D147" s="2">
        <v>3944</v>
      </c>
      <c r="E147" s="3">
        <v>42611</v>
      </c>
      <c r="F147" t="s">
        <v>9</v>
      </c>
      <c r="I147" s="3"/>
    </row>
    <row r="148" spans="1:9" x14ac:dyDescent="0.3">
      <c r="A148">
        <v>147</v>
      </c>
      <c r="B148" t="s">
        <v>18</v>
      </c>
      <c r="C148" t="s">
        <v>6</v>
      </c>
      <c r="D148" s="2">
        <v>5761</v>
      </c>
      <c r="E148" s="3">
        <v>42611</v>
      </c>
      <c r="F148" t="s">
        <v>12</v>
      </c>
      <c r="I148" s="3"/>
    </row>
    <row r="149" spans="1:9" x14ac:dyDescent="0.3">
      <c r="A149">
        <v>148</v>
      </c>
      <c r="B149" t="s">
        <v>13</v>
      </c>
      <c r="C149" t="s">
        <v>5</v>
      </c>
      <c r="D149" s="2">
        <v>6864</v>
      </c>
      <c r="E149" s="3">
        <v>42614</v>
      </c>
      <c r="F149" t="s">
        <v>20</v>
      </c>
      <c r="I149" s="3"/>
    </row>
    <row r="150" spans="1:9" x14ac:dyDescent="0.3">
      <c r="A150">
        <v>149</v>
      </c>
      <c r="B150" t="s">
        <v>13</v>
      </c>
      <c r="C150" t="s">
        <v>5</v>
      </c>
      <c r="D150" s="2">
        <v>4016</v>
      </c>
      <c r="E150" s="3">
        <v>42614</v>
      </c>
      <c r="F150" t="s">
        <v>12</v>
      </c>
      <c r="I150" s="3"/>
    </row>
    <row r="151" spans="1:9" x14ac:dyDescent="0.3">
      <c r="A151">
        <v>150</v>
      </c>
      <c r="B151" t="s">
        <v>13</v>
      </c>
      <c r="C151" t="s">
        <v>5</v>
      </c>
      <c r="D151" s="2">
        <v>1841</v>
      </c>
      <c r="E151" s="3">
        <v>42615</v>
      </c>
      <c r="F151" t="s">
        <v>8</v>
      </c>
      <c r="I151" s="3"/>
    </row>
    <row r="152" spans="1:9" x14ac:dyDescent="0.3">
      <c r="A152">
        <v>151</v>
      </c>
      <c r="B152" t="s">
        <v>13</v>
      </c>
      <c r="C152" t="s">
        <v>5</v>
      </c>
      <c r="D152" s="2">
        <v>424</v>
      </c>
      <c r="E152" s="3">
        <v>42618</v>
      </c>
      <c r="F152" t="s">
        <v>11</v>
      </c>
      <c r="I152" s="3"/>
    </row>
    <row r="153" spans="1:9" x14ac:dyDescent="0.3">
      <c r="A153">
        <v>152</v>
      </c>
      <c r="B153" t="s">
        <v>13</v>
      </c>
      <c r="C153" t="s">
        <v>5</v>
      </c>
      <c r="D153" s="2">
        <v>8765</v>
      </c>
      <c r="E153" s="3">
        <v>42620</v>
      </c>
      <c r="F153" t="s">
        <v>9</v>
      </c>
      <c r="I153" s="3"/>
    </row>
    <row r="154" spans="1:9" x14ac:dyDescent="0.3">
      <c r="A154">
        <v>153</v>
      </c>
      <c r="B154" t="s">
        <v>13</v>
      </c>
      <c r="C154" t="s">
        <v>5</v>
      </c>
      <c r="D154" s="2">
        <v>5583</v>
      </c>
      <c r="E154" s="3">
        <v>42621</v>
      </c>
      <c r="F154" t="s">
        <v>8</v>
      </c>
      <c r="I154" s="3"/>
    </row>
    <row r="155" spans="1:9" x14ac:dyDescent="0.3">
      <c r="A155">
        <v>154</v>
      </c>
      <c r="B155" t="s">
        <v>21</v>
      </c>
      <c r="C155" t="s">
        <v>6</v>
      </c>
      <c r="D155" s="2">
        <v>4390</v>
      </c>
      <c r="E155" s="3">
        <v>42622</v>
      </c>
      <c r="F155" t="s">
        <v>20</v>
      </c>
      <c r="I155" s="3"/>
    </row>
    <row r="156" spans="1:9" x14ac:dyDescent="0.3">
      <c r="A156">
        <v>155</v>
      </c>
      <c r="B156" t="s">
        <v>21</v>
      </c>
      <c r="C156" t="s">
        <v>6</v>
      </c>
      <c r="D156" s="2">
        <v>352</v>
      </c>
      <c r="E156" s="3">
        <v>42622</v>
      </c>
      <c r="F156" t="s">
        <v>10</v>
      </c>
      <c r="I156" s="3"/>
    </row>
    <row r="157" spans="1:9" x14ac:dyDescent="0.3">
      <c r="A157">
        <v>156</v>
      </c>
      <c r="B157" t="s">
        <v>14</v>
      </c>
      <c r="C157" t="s">
        <v>5</v>
      </c>
      <c r="D157" s="2">
        <v>8489</v>
      </c>
      <c r="E157" s="3">
        <v>42624</v>
      </c>
      <c r="F157" t="s">
        <v>8</v>
      </c>
      <c r="I157" s="3"/>
    </row>
    <row r="158" spans="1:9" x14ac:dyDescent="0.3">
      <c r="A158">
        <v>157</v>
      </c>
      <c r="B158" t="s">
        <v>13</v>
      </c>
      <c r="C158" t="s">
        <v>5</v>
      </c>
      <c r="D158" s="2">
        <v>7090</v>
      </c>
      <c r="E158" s="3">
        <v>42624</v>
      </c>
      <c r="F158" t="s">
        <v>19</v>
      </c>
      <c r="I158" s="3"/>
    </row>
    <row r="159" spans="1:9" x14ac:dyDescent="0.3">
      <c r="A159">
        <v>158</v>
      </c>
      <c r="B159" t="s">
        <v>13</v>
      </c>
      <c r="C159" t="s">
        <v>5</v>
      </c>
      <c r="D159" s="2">
        <v>7880</v>
      </c>
      <c r="E159" s="3">
        <v>42628</v>
      </c>
      <c r="F159" t="s">
        <v>8</v>
      </c>
      <c r="I159" s="3"/>
    </row>
    <row r="160" spans="1:9" x14ac:dyDescent="0.3">
      <c r="A160">
        <v>159</v>
      </c>
      <c r="B160" t="s">
        <v>15</v>
      </c>
      <c r="C160" t="s">
        <v>5</v>
      </c>
      <c r="D160" s="2">
        <v>3861</v>
      </c>
      <c r="E160" s="3">
        <v>42631</v>
      </c>
      <c r="F160" t="s">
        <v>8</v>
      </c>
      <c r="I160" s="3"/>
    </row>
    <row r="161" spans="1:6" x14ac:dyDescent="0.3">
      <c r="A161">
        <v>160</v>
      </c>
      <c r="B161" t="s">
        <v>21</v>
      </c>
      <c r="C161" t="s">
        <v>6</v>
      </c>
      <c r="D161" s="2">
        <v>7927</v>
      </c>
      <c r="E161" s="3">
        <v>42632</v>
      </c>
      <c r="F161" t="s">
        <v>12</v>
      </c>
    </row>
    <row r="162" spans="1:6" x14ac:dyDescent="0.3">
      <c r="A162">
        <v>161</v>
      </c>
      <c r="B162" t="s">
        <v>13</v>
      </c>
      <c r="C162" t="s">
        <v>5</v>
      </c>
      <c r="D162" s="2">
        <v>6162</v>
      </c>
      <c r="E162" s="3">
        <v>42633</v>
      </c>
      <c r="F162" t="s">
        <v>8</v>
      </c>
    </row>
    <row r="163" spans="1:6" x14ac:dyDescent="0.3">
      <c r="A163">
        <v>162</v>
      </c>
      <c r="B163" t="s">
        <v>16</v>
      </c>
      <c r="C163" t="s">
        <v>5</v>
      </c>
      <c r="D163" s="2">
        <v>5523</v>
      </c>
      <c r="E163" s="3">
        <v>42638</v>
      </c>
      <c r="F163" t="s">
        <v>11</v>
      </c>
    </row>
    <row r="164" spans="1:6" x14ac:dyDescent="0.3">
      <c r="A164">
        <v>163</v>
      </c>
      <c r="B164" t="s">
        <v>21</v>
      </c>
      <c r="C164" t="s">
        <v>6</v>
      </c>
      <c r="D164" s="2">
        <v>5936</v>
      </c>
      <c r="E164" s="3">
        <v>42638</v>
      </c>
      <c r="F164" t="s">
        <v>9</v>
      </c>
    </row>
    <row r="165" spans="1:6" x14ac:dyDescent="0.3">
      <c r="A165">
        <v>164</v>
      </c>
      <c r="B165" t="s">
        <v>17</v>
      </c>
      <c r="C165" t="s">
        <v>6</v>
      </c>
      <c r="D165" s="2">
        <v>7251</v>
      </c>
      <c r="E165" s="3">
        <v>42639</v>
      </c>
      <c r="F165" t="s">
        <v>12</v>
      </c>
    </row>
    <row r="166" spans="1:6" x14ac:dyDescent="0.3">
      <c r="A166">
        <v>165</v>
      </c>
      <c r="B166" t="s">
        <v>15</v>
      </c>
      <c r="C166" t="s">
        <v>5</v>
      </c>
      <c r="D166" s="2">
        <v>6187</v>
      </c>
      <c r="E166" s="3">
        <v>42640</v>
      </c>
      <c r="F166" t="s">
        <v>11</v>
      </c>
    </row>
    <row r="167" spans="1:6" x14ac:dyDescent="0.3">
      <c r="A167">
        <v>166</v>
      </c>
      <c r="B167" t="s">
        <v>13</v>
      </c>
      <c r="C167" t="s">
        <v>5</v>
      </c>
      <c r="D167" s="2">
        <v>3210</v>
      </c>
      <c r="E167" s="3">
        <v>42642</v>
      </c>
      <c r="F167" t="s">
        <v>12</v>
      </c>
    </row>
    <row r="168" spans="1:6" x14ac:dyDescent="0.3">
      <c r="A168">
        <v>167</v>
      </c>
      <c r="B168" t="s">
        <v>17</v>
      </c>
      <c r="C168" t="s">
        <v>6</v>
      </c>
      <c r="D168" s="2">
        <v>682</v>
      </c>
      <c r="E168" s="3">
        <v>42642</v>
      </c>
      <c r="F168" t="s">
        <v>12</v>
      </c>
    </row>
    <row r="169" spans="1:6" x14ac:dyDescent="0.3">
      <c r="A169">
        <v>168</v>
      </c>
      <c r="B169" t="s">
        <v>13</v>
      </c>
      <c r="C169" t="s">
        <v>5</v>
      </c>
      <c r="D169" s="2">
        <v>793</v>
      </c>
      <c r="E169" s="3">
        <v>42646</v>
      </c>
      <c r="F169" t="s">
        <v>11</v>
      </c>
    </row>
    <row r="170" spans="1:6" x14ac:dyDescent="0.3">
      <c r="A170">
        <v>169</v>
      </c>
      <c r="B170" t="s">
        <v>17</v>
      </c>
      <c r="C170" t="s">
        <v>6</v>
      </c>
      <c r="D170" s="2">
        <v>5346</v>
      </c>
      <c r="E170" s="3">
        <v>42647</v>
      </c>
      <c r="F170" t="s">
        <v>12</v>
      </c>
    </row>
    <row r="171" spans="1:6" x14ac:dyDescent="0.3">
      <c r="A171">
        <v>170</v>
      </c>
      <c r="B171" t="s">
        <v>13</v>
      </c>
      <c r="C171" t="s">
        <v>5</v>
      </c>
      <c r="D171" s="2">
        <v>7103</v>
      </c>
      <c r="E171" s="3">
        <v>42650</v>
      </c>
      <c r="F171" t="s">
        <v>20</v>
      </c>
    </row>
    <row r="172" spans="1:6" x14ac:dyDescent="0.3">
      <c r="A172">
        <v>171</v>
      </c>
      <c r="B172" t="s">
        <v>17</v>
      </c>
      <c r="C172" t="s">
        <v>6</v>
      </c>
      <c r="D172" s="2">
        <v>4603</v>
      </c>
      <c r="E172" s="3">
        <v>42653</v>
      </c>
      <c r="F172" t="s">
        <v>8</v>
      </c>
    </row>
    <row r="173" spans="1:6" x14ac:dyDescent="0.3">
      <c r="A173">
        <v>172</v>
      </c>
      <c r="B173" t="s">
        <v>14</v>
      </c>
      <c r="C173" t="s">
        <v>5</v>
      </c>
      <c r="D173" s="2">
        <v>8160</v>
      </c>
      <c r="E173" s="3">
        <v>42659</v>
      </c>
      <c r="F173" t="s">
        <v>19</v>
      </c>
    </row>
    <row r="174" spans="1:6" x14ac:dyDescent="0.3">
      <c r="A174">
        <v>173</v>
      </c>
      <c r="B174" t="s">
        <v>14</v>
      </c>
      <c r="C174" t="s">
        <v>5</v>
      </c>
      <c r="D174" s="2">
        <v>7171</v>
      </c>
      <c r="E174" s="3">
        <v>42666</v>
      </c>
      <c r="F174" t="s">
        <v>9</v>
      </c>
    </row>
    <row r="175" spans="1:6" x14ac:dyDescent="0.3">
      <c r="A175">
        <v>174</v>
      </c>
      <c r="B175" t="s">
        <v>13</v>
      </c>
      <c r="C175" t="s">
        <v>5</v>
      </c>
      <c r="D175" s="2">
        <v>3552</v>
      </c>
      <c r="E175" s="3">
        <v>42666</v>
      </c>
      <c r="F175" t="s">
        <v>20</v>
      </c>
    </row>
    <row r="176" spans="1:6" x14ac:dyDescent="0.3">
      <c r="A176">
        <v>175</v>
      </c>
      <c r="B176" t="s">
        <v>13</v>
      </c>
      <c r="C176" t="s">
        <v>5</v>
      </c>
      <c r="D176" s="2">
        <v>7273</v>
      </c>
      <c r="E176" s="3">
        <v>42668</v>
      </c>
      <c r="F176" t="s">
        <v>11</v>
      </c>
    </row>
    <row r="177" spans="1:6" x14ac:dyDescent="0.3">
      <c r="A177">
        <v>176</v>
      </c>
      <c r="B177" t="s">
        <v>13</v>
      </c>
      <c r="C177" t="s">
        <v>5</v>
      </c>
      <c r="D177" s="2">
        <v>2402</v>
      </c>
      <c r="E177" s="3">
        <v>42669</v>
      </c>
      <c r="F177" t="s">
        <v>12</v>
      </c>
    </row>
    <row r="178" spans="1:6" x14ac:dyDescent="0.3">
      <c r="A178">
        <v>177</v>
      </c>
      <c r="B178" t="s">
        <v>13</v>
      </c>
      <c r="C178" t="s">
        <v>5</v>
      </c>
      <c r="D178" s="2">
        <v>1197</v>
      </c>
      <c r="E178" s="3">
        <v>42669</v>
      </c>
      <c r="F178" t="s">
        <v>11</v>
      </c>
    </row>
    <row r="179" spans="1:6" x14ac:dyDescent="0.3">
      <c r="A179">
        <v>178</v>
      </c>
      <c r="B179" t="s">
        <v>18</v>
      </c>
      <c r="C179" t="s">
        <v>6</v>
      </c>
      <c r="D179" s="2">
        <v>5015</v>
      </c>
      <c r="E179" s="3">
        <v>42669</v>
      </c>
      <c r="F179" t="s">
        <v>11</v>
      </c>
    </row>
    <row r="180" spans="1:6" x14ac:dyDescent="0.3">
      <c r="A180">
        <v>179</v>
      </c>
      <c r="B180" t="s">
        <v>15</v>
      </c>
      <c r="C180" t="s">
        <v>5</v>
      </c>
      <c r="D180" s="2">
        <v>5818</v>
      </c>
      <c r="E180" s="3">
        <v>42676</v>
      </c>
      <c r="F180" t="s">
        <v>8</v>
      </c>
    </row>
    <row r="181" spans="1:6" x14ac:dyDescent="0.3">
      <c r="A181">
        <v>180</v>
      </c>
      <c r="B181" t="s">
        <v>13</v>
      </c>
      <c r="C181" t="s">
        <v>5</v>
      </c>
      <c r="D181" s="2">
        <v>4399</v>
      </c>
      <c r="E181" s="3">
        <v>42677</v>
      </c>
      <c r="F181" t="s">
        <v>9</v>
      </c>
    </row>
    <row r="182" spans="1:6" x14ac:dyDescent="0.3">
      <c r="A182">
        <v>181</v>
      </c>
      <c r="B182" t="s">
        <v>17</v>
      </c>
      <c r="C182" t="s">
        <v>6</v>
      </c>
      <c r="D182" s="2">
        <v>3011</v>
      </c>
      <c r="E182" s="3">
        <v>42677</v>
      </c>
      <c r="F182" t="s">
        <v>8</v>
      </c>
    </row>
    <row r="183" spans="1:6" x14ac:dyDescent="0.3">
      <c r="A183">
        <v>182</v>
      </c>
      <c r="B183" t="s">
        <v>14</v>
      </c>
      <c r="C183" t="s">
        <v>5</v>
      </c>
      <c r="D183" s="2">
        <v>4715</v>
      </c>
      <c r="E183" s="3">
        <v>42683</v>
      </c>
      <c r="F183" t="s">
        <v>9</v>
      </c>
    </row>
    <row r="184" spans="1:6" x14ac:dyDescent="0.3">
      <c r="A184">
        <v>183</v>
      </c>
      <c r="B184" t="s">
        <v>14</v>
      </c>
      <c r="C184" t="s">
        <v>5</v>
      </c>
      <c r="D184" s="2">
        <v>5321</v>
      </c>
      <c r="E184" s="3">
        <v>42686</v>
      </c>
      <c r="F184" t="s">
        <v>19</v>
      </c>
    </row>
    <row r="185" spans="1:6" x14ac:dyDescent="0.3">
      <c r="A185">
        <v>184</v>
      </c>
      <c r="B185" t="s">
        <v>13</v>
      </c>
      <c r="C185" t="s">
        <v>5</v>
      </c>
      <c r="D185" s="2">
        <v>8894</v>
      </c>
      <c r="E185" s="3">
        <v>42689</v>
      </c>
      <c r="F185" t="s">
        <v>8</v>
      </c>
    </row>
    <row r="186" spans="1:6" x14ac:dyDescent="0.3">
      <c r="A186">
        <v>185</v>
      </c>
      <c r="B186" t="s">
        <v>17</v>
      </c>
      <c r="C186" t="s">
        <v>6</v>
      </c>
      <c r="D186" s="2">
        <v>4846</v>
      </c>
      <c r="E186" s="3">
        <v>42699</v>
      </c>
      <c r="F186" t="s">
        <v>9</v>
      </c>
    </row>
    <row r="187" spans="1:6" x14ac:dyDescent="0.3">
      <c r="A187">
        <v>186</v>
      </c>
      <c r="B187" t="s">
        <v>21</v>
      </c>
      <c r="C187" t="s">
        <v>6</v>
      </c>
      <c r="D187" s="2">
        <v>284</v>
      </c>
      <c r="E187" s="3">
        <v>42699</v>
      </c>
      <c r="F187" t="s">
        <v>12</v>
      </c>
    </row>
    <row r="188" spans="1:6" x14ac:dyDescent="0.3">
      <c r="A188">
        <v>187</v>
      </c>
      <c r="B188" t="s">
        <v>15</v>
      </c>
      <c r="C188" t="s">
        <v>5</v>
      </c>
      <c r="D188" s="2">
        <v>8283</v>
      </c>
      <c r="E188" s="3">
        <v>42700</v>
      </c>
      <c r="F188" t="s">
        <v>9</v>
      </c>
    </row>
    <row r="189" spans="1:6" x14ac:dyDescent="0.3">
      <c r="A189">
        <v>188</v>
      </c>
      <c r="B189" t="s">
        <v>15</v>
      </c>
      <c r="C189" t="s">
        <v>5</v>
      </c>
      <c r="D189" s="2">
        <v>9990</v>
      </c>
      <c r="E189" s="3">
        <v>42702</v>
      </c>
      <c r="F189" t="s">
        <v>10</v>
      </c>
    </row>
    <row r="190" spans="1:6" x14ac:dyDescent="0.3">
      <c r="A190">
        <v>189</v>
      </c>
      <c r="B190" t="s">
        <v>13</v>
      </c>
      <c r="C190" t="s">
        <v>5</v>
      </c>
      <c r="D190" s="2">
        <v>9014</v>
      </c>
      <c r="E190" s="3">
        <v>42702</v>
      </c>
      <c r="F190" t="s">
        <v>11</v>
      </c>
    </row>
    <row r="191" spans="1:6" x14ac:dyDescent="0.3">
      <c r="A191">
        <v>190</v>
      </c>
      <c r="B191" t="s">
        <v>14</v>
      </c>
      <c r="C191" t="s">
        <v>5</v>
      </c>
      <c r="D191" s="2">
        <v>1942</v>
      </c>
      <c r="E191" s="3">
        <v>42703</v>
      </c>
      <c r="F191" t="s">
        <v>19</v>
      </c>
    </row>
    <row r="192" spans="1:6" x14ac:dyDescent="0.3">
      <c r="A192">
        <v>191</v>
      </c>
      <c r="B192" t="s">
        <v>13</v>
      </c>
      <c r="C192" t="s">
        <v>5</v>
      </c>
      <c r="D192" s="2">
        <v>7223</v>
      </c>
      <c r="E192" s="3">
        <v>42704</v>
      </c>
      <c r="F192" t="s">
        <v>8</v>
      </c>
    </row>
    <row r="193" spans="1:6" x14ac:dyDescent="0.3">
      <c r="A193">
        <v>192</v>
      </c>
      <c r="B193" t="s">
        <v>17</v>
      </c>
      <c r="C193" t="s">
        <v>6</v>
      </c>
      <c r="D193" s="2">
        <v>4673</v>
      </c>
      <c r="E193" s="3">
        <v>42706</v>
      </c>
      <c r="F193" t="s">
        <v>8</v>
      </c>
    </row>
    <row r="194" spans="1:6" x14ac:dyDescent="0.3">
      <c r="A194">
        <v>193</v>
      </c>
      <c r="B194" t="s">
        <v>17</v>
      </c>
      <c r="C194" t="s">
        <v>6</v>
      </c>
      <c r="D194" s="2">
        <v>9104</v>
      </c>
      <c r="E194" s="3">
        <v>42708</v>
      </c>
      <c r="F194" t="s">
        <v>19</v>
      </c>
    </row>
    <row r="195" spans="1:6" x14ac:dyDescent="0.3">
      <c r="A195">
        <v>194</v>
      </c>
      <c r="B195" t="s">
        <v>14</v>
      </c>
      <c r="C195" t="s">
        <v>5</v>
      </c>
      <c r="D195" s="2">
        <v>6078</v>
      </c>
      <c r="E195" s="3">
        <v>42709</v>
      </c>
      <c r="F195" t="s">
        <v>8</v>
      </c>
    </row>
    <row r="196" spans="1:6" x14ac:dyDescent="0.3">
      <c r="A196">
        <v>195</v>
      </c>
      <c r="B196" t="s">
        <v>18</v>
      </c>
      <c r="C196" t="s">
        <v>6</v>
      </c>
      <c r="D196" s="2">
        <v>3278</v>
      </c>
      <c r="E196" s="3">
        <v>42710</v>
      </c>
      <c r="F196" t="s">
        <v>12</v>
      </c>
    </row>
    <row r="197" spans="1:6" x14ac:dyDescent="0.3">
      <c r="A197">
        <v>196</v>
      </c>
      <c r="B197" t="s">
        <v>13</v>
      </c>
      <c r="C197" t="s">
        <v>5</v>
      </c>
      <c r="D197" s="2">
        <v>136</v>
      </c>
      <c r="E197" s="3">
        <v>42716</v>
      </c>
      <c r="F197" t="s">
        <v>10</v>
      </c>
    </row>
    <row r="198" spans="1:6" x14ac:dyDescent="0.3">
      <c r="A198">
        <v>197</v>
      </c>
      <c r="B198" t="s">
        <v>13</v>
      </c>
      <c r="C198" t="s">
        <v>5</v>
      </c>
      <c r="D198" s="2">
        <v>8377</v>
      </c>
      <c r="E198" s="3">
        <v>42716</v>
      </c>
      <c r="F198" t="s">
        <v>11</v>
      </c>
    </row>
    <row r="199" spans="1:6" x14ac:dyDescent="0.3">
      <c r="A199">
        <v>198</v>
      </c>
      <c r="B199" t="s">
        <v>13</v>
      </c>
      <c r="C199" t="s">
        <v>5</v>
      </c>
      <c r="D199" s="2">
        <v>2382</v>
      </c>
      <c r="E199" s="3">
        <v>42716</v>
      </c>
      <c r="F199" t="s">
        <v>8</v>
      </c>
    </row>
    <row r="200" spans="1:6" x14ac:dyDescent="0.3">
      <c r="A200">
        <v>199</v>
      </c>
      <c r="B200" t="s">
        <v>13</v>
      </c>
      <c r="C200" t="s">
        <v>5</v>
      </c>
      <c r="D200" s="2">
        <v>8702</v>
      </c>
      <c r="E200" s="3">
        <v>42719</v>
      </c>
      <c r="F200" t="s">
        <v>12</v>
      </c>
    </row>
    <row r="201" spans="1:6" x14ac:dyDescent="0.3">
      <c r="A201">
        <v>200</v>
      </c>
      <c r="B201" t="s">
        <v>13</v>
      </c>
      <c r="C201" t="s">
        <v>5</v>
      </c>
      <c r="D201" s="2">
        <v>5021</v>
      </c>
      <c r="E201" s="3">
        <v>42720</v>
      </c>
      <c r="F201" t="s">
        <v>8</v>
      </c>
    </row>
    <row r="202" spans="1:6" x14ac:dyDescent="0.3">
      <c r="A202">
        <v>201</v>
      </c>
      <c r="B202" t="s">
        <v>14</v>
      </c>
      <c r="C202" t="s">
        <v>5</v>
      </c>
      <c r="D202" s="2">
        <v>1760</v>
      </c>
      <c r="E202" s="3">
        <v>42720</v>
      </c>
      <c r="F202" t="s">
        <v>11</v>
      </c>
    </row>
    <row r="203" spans="1:6" x14ac:dyDescent="0.3">
      <c r="A203">
        <v>202</v>
      </c>
      <c r="B203" t="s">
        <v>13</v>
      </c>
      <c r="C203" t="s">
        <v>5</v>
      </c>
      <c r="D203" s="2">
        <v>4766</v>
      </c>
      <c r="E203" s="3">
        <v>42722</v>
      </c>
      <c r="F203" t="s">
        <v>12</v>
      </c>
    </row>
    <row r="204" spans="1:6" x14ac:dyDescent="0.3">
      <c r="A204">
        <v>203</v>
      </c>
      <c r="B204" t="s">
        <v>18</v>
      </c>
      <c r="C204" t="s">
        <v>6</v>
      </c>
      <c r="D204" s="2">
        <v>1541</v>
      </c>
      <c r="E204" s="3">
        <v>42723</v>
      </c>
      <c r="F204" t="s">
        <v>9</v>
      </c>
    </row>
    <row r="205" spans="1:6" x14ac:dyDescent="0.3">
      <c r="A205">
        <v>204</v>
      </c>
      <c r="B205" t="s">
        <v>15</v>
      </c>
      <c r="C205" t="s">
        <v>5</v>
      </c>
      <c r="D205" s="2">
        <v>2782</v>
      </c>
      <c r="E205" s="3">
        <v>42724</v>
      </c>
      <c r="F205" t="s">
        <v>9</v>
      </c>
    </row>
    <row r="206" spans="1:6" x14ac:dyDescent="0.3">
      <c r="A206">
        <v>205</v>
      </c>
      <c r="B206" t="s">
        <v>14</v>
      </c>
      <c r="C206" t="s">
        <v>5</v>
      </c>
      <c r="D206" s="2">
        <v>2455</v>
      </c>
      <c r="E206" s="3">
        <v>42724</v>
      </c>
      <c r="F206" t="s">
        <v>10</v>
      </c>
    </row>
    <row r="207" spans="1:6" x14ac:dyDescent="0.3">
      <c r="A207">
        <v>206</v>
      </c>
      <c r="B207" t="s">
        <v>14</v>
      </c>
      <c r="C207" t="s">
        <v>5</v>
      </c>
      <c r="D207" s="2">
        <v>4512</v>
      </c>
      <c r="E207" s="3">
        <v>42726</v>
      </c>
      <c r="F207" t="s">
        <v>20</v>
      </c>
    </row>
    <row r="208" spans="1:6" x14ac:dyDescent="0.3">
      <c r="A208">
        <v>207</v>
      </c>
      <c r="B208" t="s">
        <v>14</v>
      </c>
      <c r="C208" t="s">
        <v>5</v>
      </c>
      <c r="D208" s="2">
        <v>8752</v>
      </c>
      <c r="E208" s="3">
        <v>42726</v>
      </c>
      <c r="F208" t="s">
        <v>12</v>
      </c>
    </row>
    <row r="209" spans="1:6" x14ac:dyDescent="0.3">
      <c r="A209">
        <v>208</v>
      </c>
      <c r="B209" t="s">
        <v>17</v>
      </c>
      <c r="C209" t="s">
        <v>6</v>
      </c>
      <c r="D209" s="2">
        <v>9127</v>
      </c>
      <c r="E209" s="3">
        <v>42729</v>
      </c>
      <c r="F209" t="s">
        <v>8</v>
      </c>
    </row>
    <row r="210" spans="1:6" x14ac:dyDescent="0.3">
      <c r="A210">
        <v>209</v>
      </c>
      <c r="B210" t="s">
        <v>14</v>
      </c>
      <c r="C210" t="s">
        <v>5</v>
      </c>
      <c r="D210" s="2">
        <v>1777</v>
      </c>
      <c r="E210" s="3">
        <v>42732</v>
      </c>
      <c r="F210" t="s">
        <v>19</v>
      </c>
    </row>
    <row r="211" spans="1:6" x14ac:dyDescent="0.3">
      <c r="A211">
        <v>210</v>
      </c>
      <c r="B211" t="s">
        <v>18</v>
      </c>
      <c r="C211" t="s">
        <v>6</v>
      </c>
      <c r="D211" s="2">
        <v>680</v>
      </c>
      <c r="E211" s="3">
        <v>42732</v>
      </c>
      <c r="F211" t="s">
        <v>19</v>
      </c>
    </row>
    <row r="212" spans="1:6" x14ac:dyDescent="0.3">
      <c r="A212">
        <v>211</v>
      </c>
      <c r="B212" t="s">
        <v>15</v>
      </c>
      <c r="C212" t="s">
        <v>5</v>
      </c>
      <c r="D212" s="2">
        <v>958</v>
      </c>
      <c r="E212" s="3">
        <v>42733</v>
      </c>
      <c r="F212" t="s">
        <v>8</v>
      </c>
    </row>
    <row r="213" spans="1:6" x14ac:dyDescent="0.3">
      <c r="A213">
        <v>212</v>
      </c>
      <c r="B213" t="s">
        <v>17</v>
      </c>
      <c r="C213" t="s">
        <v>6</v>
      </c>
      <c r="D213" s="2">
        <v>2613</v>
      </c>
      <c r="E213" s="3">
        <v>42733</v>
      </c>
      <c r="F213" t="s">
        <v>11</v>
      </c>
    </row>
    <row r="214" spans="1:6" x14ac:dyDescent="0.3">
      <c r="A214">
        <v>213</v>
      </c>
      <c r="B214" t="s">
        <v>17</v>
      </c>
      <c r="C214" t="s">
        <v>6</v>
      </c>
      <c r="D214" s="2">
        <v>339</v>
      </c>
      <c r="E214" s="3">
        <v>42734</v>
      </c>
      <c r="F214" t="s">
        <v>11</v>
      </c>
    </row>
  </sheetData>
  <mergeCells count="2">
    <mergeCell ref="H2:I2"/>
    <mergeCell ref="K2:L2"/>
  </mergeCells>
  <conditionalFormatting sqref="B2:B214">
    <cfRule type="containsText" dxfId="14" priority="10" operator="containsText" text="Carrots">
      <formula>NOT(ISERROR(SEARCH("Carrots",B2)))</formula>
    </cfRule>
    <cfRule type="containsText" dxfId="13" priority="11" operator="containsText" text="Carrots">
      <formula>NOT(ISERROR(SEARCH("Carrots",B2)))</formula>
    </cfRule>
    <cfRule type="containsText" dxfId="12" priority="12" operator="containsText" text="Mango">
      <formula>NOT(ISERROR(SEARCH("Mango",B2)))</formula>
    </cfRule>
    <cfRule type="containsText" dxfId="11" priority="13" operator="containsText" text="Cabbage">
      <formula>NOT(ISERROR(SEARCH("Cabbage",B2)))</formula>
    </cfRule>
    <cfRule type="containsText" dxfId="10" priority="14" operator="containsText" text="Apple">
      <formula>NOT(ISERROR(SEARCH("Apple",B2)))</formula>
    </cfRule>
    <cfRule type="containsText" dxfId="9" priority="15" operator="containsText" text="Orange">
      <formula>NOT(ISERROR(SEARCH("Orange",B2)))</formula>
    </cfRule>
    <cfRule type="containsText" dxfId="8" priority="16" operator="containsText" text="Beans">
      <formula>NOT(ISERROR(SEARCH("Beans",B2)))</formula>
    </cfRule>
    <cfRule type="containsText" dxfId="7" priority="17" operator="containsText" text="Banana">
      <formula>NOT(ISERROR(SEARCH("Banana",B2)))</formula>
    </cfRule>
    <cfRule type="containsText" dxfId="6" priority="18" operator="containsText" text="Cabbage">
      <formula>NOT(ISERROR(SEARCH("Cabbage",B2)))</formula>
    </cfRule>
    <cfRule type="containsText" dxfId="5" priority="19" operator="containsText" text="Carrots">
      <formula>NOT(ISERROR(SEARCH("Carrots",B2)))</formula>
    </cfRule>
  </conditionalFormatting>
  <conditionalFormatting sqref="D1:D214">
    <cfRule type="top10" dxfId="4" priority="28" rank="1"/>
  </conditionalFormatting>
  <conditionalFormatting sqref="D2:D214">
    <cfRule type="top10" dxfId="3" priority="9" bottom="1" rank="1"/>
    <cfRule type="iconSet" priority="26">
      <iconSet>
        <cfvo type="percent" val="0"/>
        <cfvo type="percent" val="33"/>
        <cfvo type="percent" val="67"/>
      </iconSet>
    </cfRule>
    <cfRule type="iconSet" priority="27">
      <iconSet>
        <cfvo type="percent" val="0"/>
        <cfvo type="percent" val="33"/>
        <cfvo type="percent" val="67"/>
      </iconSet>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24F7D-829C-43FF-9346-F402BCF315EF}">
  <dimension ref="A1:I39"/>
  <sheetViews>
    <sheetView workbookViewId="0">
      <selection activeCell="D20" sqref="D20"/>
    </sheetView>
  </sheetViews>
  <sheetFormatPr defaultRowHeight="14.4" x14ac:dyDescent="0.3"/>
  <cols>
    <col min="1" max="1" width="54.6640625" bestFit="1" customWidth="1"/>
    <col min="2" max="2" width="20.44140625" style="12" bestFit="1" customWidth="1"/>
    <col min="4" max="4" width="110.5546875" customWidth="1"/>
  </cols>
  <sheetData>
    <row r="1" spans="1:9" ht="18" x14ac:dyDescent="0.35">
      <c r="A1" s="7" t="s">
        <v>115</v>
      </c>
      <c r="B1" s="8" t="s">
        <v>114</v>
      </c>
      <c r="C1" s="7"/>
      <c r="D1" s="7" t="s">
        <v>113</v>
      </c>
    </row>
    <row r="2" spans="1:9" x14ac:dyDescent="0.3">
      <c r="A2" t="s">
        <v>22</v>
      </c>
      <c r="B2" s="9">
        <f>SUM(Table1[Amount])</f>
        <v>1029734</v>
      </c>
      <c r="D2" t="s">
        <v>23</v>
      </c>
    </row>
    <row r="3" spans="1:9" x14ac:dyDescent="0.3">
      <c r="A3" t="s">
        <v>24</v>
      </c>
      <c r="B3" s="10">
        <f>SUM(Table!D4:D212)</f>
        <v>1014273</v>
      </c>
      <c r="D3" t="s">
        <v>23</v>
      </c>
    </row>
    <row r="4" spans="1:9" x14ac:dyDescent="0.3">
      <c r="A4" t="s">
        <v>43</v>
      </c>
      <c r="B4" s="10">
        <f>AVERAGE(Table1[Amount])</f>
        <v>4834.4319248826287</v>
      </c>
      <c r="D4" t="s">
        <v>45</v>
      </c>
      <c r="I4" s="2"/>
    </row>
    <row r="5" spans="1:9" x14ac:dyDescent="0.3">
      <c r="A5" t="s">
        <v>44</v>
      </c>
      <c r="B5" s="10">
        <f>AVERAGE(Table!D4:D212)</f>
        <v>4852.9808612440193</v>
      </c>
      <c r="D5" t="s">
        <v>46</v>
      </c>
    </row>
    <row r="6" spans="1:9" x14ac:dyDescent="0.3">
      <c r="A6" t="s">
        <v>39</v>
      </c>
      <c r="B6" s="11">
        <f>COUNTIF(Table1[Category],Table!T2)</f>
        <v>67</v>
      </c>
      <c r="D6" t="s">
        <v>41</v>
      </c>
    </row>
    <row r="7" spans="1:9" x14ac:dyDescent="0.3">
      <c r="A7" t="s">
        <v>40</v>
      </c>
      <c r="B7" s="11">
        <f>COUNTIF(Table1[Category],Table!T3)</f>
        <v>146</v>
      </c>
      <c r="D7" t="s">
        <v>42</v>
      </c>
    </row>
    <row r="8" spans="1:9" x14ac:dyDescent="0.3">
      <c r="A8" t="s">
        <v>25</v>
      </c>
      <c r="B8" s="12">
        <f>COUNTIF(Table1[Product],Table!V2)</f>
        <v>27</v>
      </c>
      <c r="D8" t="s">
        <v>26</v>
      </c>
    </row>
    <row r="9" spans="1:9" x14ac:dyDescent="0.3">
      <c r="A9" t="s">
        <v>27</v>
      </c>
      <c r="B9" s="12">
        <f>COUNTIF(Table1[Product],Table!V3)</f>
        <v>27</v>
      </c>
      <c r="D9" t="s">
        <v>29</v>
      </c>
    </row>
    <row r="10" spans="1:9" x14ac:dyDescent="0.3">
      <c r="A10" t="s">
        <v>28</v>
      </c>
      <c r="B10" s="12">
        <f>COUNTIF(Table1[Product],Table!V4)</f>
        <v>71</v>
      </c>
      <c r="D10" t="s">
        <v>30</v>
      </c>
    </row>
    <row r="11" spans="1:9" x14ac:dyDescent="0.3">
      <c r="A11" t="s">
        <v>31</v>
      </c>
      <c r="B11" s="12">
        <f>COUNTIF(Table1[Product],Table!V5)</f>
        <v>13</v>
      </c>
      <c r="D11" t="s">
        <v>32</v>
      </c>
    </row>
    <row r="12" spans="1:9" x14ac:dyDescent="0.3">
      <c r="A12" t="s">
        <v>33</v>
      </c>
      <c r="B12" s="12">
        <f>COUNTIF(Table1[Product],Table!V6)</f>
        <v>24</v>
      </c>
      <c r="D12" t="s">
        <v>34</v>
      </c>
    </row>
    <row r="13" spans="1:9" x14ac:dyDescent="0.3">
      <c r="A13" t="s">
        <v>35</v>
      </c>
      <c r="B13" s="12">
        <f>COUNTIF(Table1[Product],Table!V7)</f>
        <v>40</v>
      </c>
      <c r="D13" t="s">
        <v>36</v>
      </c>
    </row>
    <row r="14" spans="1:9" x14ac:dyDescent="0.3">
      <c r="A14" t="s">
        <v>37</v>
      </c>
      <c r="B14" s="12">
        <f>COUNTIF(Table1[Product],Table!V8)</f>
        <v>11</v>
      </c>
      <c r="D14" t="s">
        <v>38</v>
      </c>
    </row>
    <row r="15" spans="1:9" x14ac:dyDescent="0.3">
      <c r="A15" t="s">
        <v>47</v>
      </c>
      <c r="B15" s="10">
        <f>MIN(Table1[Amount])</f>
        <v>107</v>
      </c>
      <c r="D15" t="s">
        <v>49</v>
      </c>
    </row>
    <row r="16" spans="1:9" x14ac:dyDescent="0.3">
      <c r="A16" t="s">
        <v>48</v>
      </c>
      <c r="B16" s="10">
        <f>MAX(Table1[Amount])</f>
        <v>9990</v>
      </c>
      <c r="D16" t="s">
        <v>50</v>
      </c>
    </row>
    <row r="17" spans="1:7" x14ac:dyDescent="0.3">
      <c r="A17" t="s">
        <v>48</v>
      </c>
      <c r="B17" s="13">
        <v>9990</v>
      </c>
      <c r="D17" t="s">
        <v>51</v>
      </c>
    </row>
    <row r="18" spans="1:7" x14ac:dyDescent="0.3">
      <c r="A18" t="s">
        <v>47</v>
      </c>
      <c r="B18" s="29">
        <v>107</v>
      </c>
      <c r="D18" t="s">
        <v>131</v>
      </c>
    </row>
    <row r="19" spans="1:7" ht="43.2" x14ac:dyDescent="0.3">
      <c r="A19" t="s">
        <v>52</v>
      </c>
      <c r="B19" s="12" t="s">
        <v>121</v>
      </c>
      <c r="D19" s="15" t="s">
        <v>53</v>
      </c>
    </row>
    <row r="20" spans="1:7" ht="28.8" x14ac:dyDescent="0.3">
      <c r="A20" t="s">
        <v>54</v>
      </c>
      <c r="B20" s="12" t="s">
        <v>121</v>
      </c>
      <c r="D20" s="15" t="s">
        <v>132</v>
      </c>
    </row>
    <row r="21" spans="1:7" x14ac:dyDescent="0.3">
      <c r="A21" t="s">
        <v>82</v>
      </c>
      <c r="B21" s="12">
        <f>COUNTIF(Table1[Country],"United States")</f>
        <v>57</v>
      </c>
      <c r="D21" t="s">
        <v>83</v>
      </c>
    </row>
    <row r="22" spans="1:7" x14ac:dyDescent="0.3">
      <c r="A22" t="s">
        <v>85</v>
      </c>
      <c r="B22" s="12">
        <f>COUNTIFS(Table1[Country],Table!Z3,Table1[Category],Table!T2,Table1[Product],Table!V2)</f>
        <v>7</v>
      </c>
      <c r="D22" t="s">
        <v>84</v>
      </c>
    </row>
    <row r="23" spans="1:7" x14ac:dyDescent="0.3">
      <c r="A23" t="s">
        <v>86</v>
      </c>
      <c r="B23" s="14">
        <f>VLOOKUP(Table!A26,Table1[],5,FALSE)</f>
        <v>42417</v>
      </c>
      <c r="D23" t="s">
        <v>87</v>
      </c>
    </row>
    <row r="24" spans="1:7" ht="15" x14ac:dyDescent="0.35">
      <c r="A24" t="s">
        <v>88</v>
      </c>
      <c r="B24" s="10">
        <f>VLOOKUP(Table!A11,Table1[],4,FALSE)</f>
        <v>7431</v>
      </c>
      <c r="D24" t="s">
        <v>89</v>
      </c>
      <c r="G24" s="6"/>
    </row>
    <row r="25" spans="1:7" x14ac:dyDescent="0.3">
      <c r="A25" t="s">
        <v>90</v>
      </c>
      <c r="B25" s="12" t="str">
        <f>VLOOKUP("Orange",Table1[[Product]:[Country]],5,FALSE)</f>
        <v>United States</v>
      </c>
      <c r="D25" s="15" t="s">
        <v>91</v>
      </c>
    </row>
    <row r="26" spans="1:7" x14ac:dyDescent="0.3">
      <c r="A26" t="s">
        <v>92</v>
      </c>
      <c r="B26" s="12" t="str">
        <f>VLOOKUP("Banana",Table1[[Product]:[Country]],2,FALSE)</f>
        <v>Fruit</v>
      </c>
      <c r="D26" t="s">
        <v>93</v>
      </c>
    </row>
    <row r="27" spans="1:7" x14ac:dyDescent="0.3">
      <c r="A27" t="s">
        <v>95</v>
      </c>
      <c r="B27" s="10">
        <f>IF(Table!B2="Carrots",Table!D2,0)</f>
        <v>4270</v>
      </c>
      <c r="D27" t="s">
        <v>94</v>
      </c>
    </row>
    <row r="28" spans="1:7" x14ac:dyDescent="0.3">
      <c r="A28" t="s">
        <v>117</v>
      </c>
      <c r="B28" s="12">
        <f>MEDIAN(Table1[Amount])</f>
        <v>4781</v>
      </c>
      <c r="D28" t="s">
        <v>96</v>
      </c>
    </row>
    <row r="29" spans="1:7" x14ac:dyDescent="0.3">
      <c r="A29" t="s">
        <v>97</v>
      </c>
      <c r="B29" s="12">
        <f>SUMIFS(Table1[Amount],Table1[Product],"Orange",Table1[Country],"United States")</f>
        <v>30932</v>
      </c>
      <c r="D29" t="s">
        <v>98</v>
      </c>
    </row>
    <row r="30" spans="1:7" x14ac:dyDescent="0.3">
      <c r="A30" t="s">
        <v>99</v>
      </c>
      <c r="B30" s="12">
        <f>COUNTIFS(Table1[Product],"Beans",Table1[Country],"United Kingdom")</f>
        <v>2</v>
      </c>
      <c r="D30" t="s">
        <v>100</v>
      </c>
    </row>
    <row r="31" spans="1:7" x14ac:dyDescent="0.3">
      <c r="A31" t="s">
        <v>102</v>
      </c>
      <c r="B31" s="12" t="str">
        <f>LEFT(Table!B2,3)</f>
        <v>Car</v>
      </c>
      <c r="D31" t="s">
        <v>101</v>
      </c>
    </row>
    <row r="32" spans="1:7" x14ac:dyDescent="0.3">
      <c r="A32" t="s">
        <v>104</v>
      </c>
      <c r="B32" s="12" t="str">
        <f>UPPER(Table!C2)</f>
        <v>VEGETABLES</v>
      </c>
      <c r="D32" t="s">
        <v>103</v>
      </c>
    </row>
    <row r="33" spans="1:4" x14ac:dyDescent="0.3">
      <c r="A33" t="s">
        <v>105</v>
      </c>
      <c r="B33" s="12" t="str">
        <f>RIGHT(Table!F6,4)</f>
        <v>many</v>
      </c>
      <c r="D33" t="s">
        <v>106</v>
      </c>
    </row>
    <row r="34" spans="1:4" x14ac:dyDescent="0.3">
      <c r="A34" t="s">
        <v>108</v>
      </c>
      <c r="B34" s="12" t="str">
        <f>MID(Table!B22,2,3)</f>
        <v>ran</v>
      </c>
      <c r="D34" t="s">
        <v>107</v>
      </c>
    </row>
    <row r="35" spans="1:4" x14ac:dyDescent="0.3">
      <c r="A35" t="s">
        <v>109</v>
      </c>
      <c r="B35" s="12">
        <f>LEN(Table!F9)</f>
        <v>11</v>
      </c>
      <c r="D35" t="s">
        <v>110</v>
      </c>
    </row>
    <row r="36" spans="1:4" x14ac:dyDescent="0.3">
      <c r="A36" t="s">
        <v>111</v>
      </c>
      <c r="B36" s="12" t="str" cm="1">
        <f t="array" ref="B36:B37">_xlfn.UNIQUE(Table1[Category])</f>
        <v>Vegetables</v>
      </c>
      <c r="D36" t="s">
        <v>112</v>
      </c>
    </row>
    <row r="37" spans="1:4" x14ac:dyDescent="0.3">
      <c r="B37" s="12" t="str">
        <v>Fruit</v>
      </c>
    </row>
    <row r="38" spans="1:4" x14ac:dyDescent="0.3">
      <c r="A38" t="s">
        <v>116</v>
      </c>
      <c r="B38" s="12">
        <f>MODE(Table1[Date])</f>
        <v>42385</v>
      </c>
      <c r="D38" t="s">
        <v>119</v>
      </c>
    </row>
    <row r="39" spans="1:4" x14ac:dyDescent="0.3">
      <c r="A39" t="s">
        <v>118</v>
      </c>
      <c r="B39" s="12">
        <f>_xlfn.STDEV.S(Table1[Amount])</f>
        <v>2765.3967082627287</v>
      </c>
      <c r="D39" t="s">
        <v>120</v>
      </c>
    </row>
  </sheetData>
  <conditionalFormatting sqref="B17">
    <cfRule type="top10" dxfId="2" priority="5" rank="1"/>
  </conditionalFormatting>
  <conditionalFormatting sqref="B18">
    <cfRule type="top10" dxfId="1" priority="1" bottom="1" rank="1"/>
    <cfRule type="iconSet" priority="2">
      <iconSet>
        <cfvo type="percent" val="0"/>
        <cfvo type="percent" val="33"/>
        <cfvo type="percent" val="67"/>
      </iconSet>
    </cfRule>
    <cfRule type="iconSet" priority="3">
      <iconSet>
        <cfvo type="percent" val="0"/>
        <cfvo type="percent" val="33"/>
        <cfvo type="percent" val="67"/>
      </iconSet>
    </cfRule>
    <cfRule type="top10" dxfId="0" priority="4" rank="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selection activeCell="E17" sqref="E17:F17"/>
      <pivotSelection pane="bottomRight" showHeader="1" extendable="1" axis="axisRow" start="2" max="8" activeRow="16" activeCol="4" previousRow="16" previousCol="4" click="1" r:id="rId3">
        <pivotArea dataOnly="0" fieldPosition="0">
          <references count="1">
            <reference field="1" count="1">
              <x v="2"/>
            </reference>
          </references>
        </pivotArea>
      </pivotSelection>
    </sheetView>
  </sheetViews>
  <sheetFormatPr defaultRowHeight="14.4" x14ac:dyDescent="0.3"/>
  <cols>
    <col min="1" max="1" width="12.5546875" bestFit="1" customWidth="1"/>
    <col min="2" max="2" width="14.44140625" bestFit="1" customWidth="1"/>
    <col min="5" max="5" width="12.5546875" bestFit="1" customWidth="1"/>
    <col min="6" max="6" width="17.6640625" bestFit="1" customWidth="1"/>
    <col min="8" max="8" width="14" bestFit="1" customWidth="1"/>
    <col min="9" max="9" width="14.44140625" bestFit="1" customWidth="1"/>
    <col min="11" max="11" width="12.5546875" bestFit="1" customWidth="1"/>
    <col min="12" max="12" width="17.6640625" bestFit="1" customWidth="1"/>
  </cols>
  <sheetData>
    <row r="1" spans="1:6" x14ac:dyDescent="0.3">
      <c r="A1" t="s">
        <v>58</v>
      </c>
      <c r="E1" t="s">
        <v>60</v>
      </c>
    </row>
    <row r="2" spans="1:6" x14ac:dyDescent="0.3">
      <c r="A2" s="4" t="s">
        <v>55</v>
      </c>
      <c r="B2" t="s">
        <v>57</v>
      </c>
      <c r="E2" s="4" t="s">
        <v>55</v>
      </c>
      <c r="F2" t="s">
        <v>57</v>
      </c>
    </row>
    <row r="3" spans="1:6" x14ac:dyDescent="0.3">
      <c r="A3" s="5" t="s">
        <v>14</v>
      </c>
      <c r="B3">
        <v>191257</v>
      </c>
      <c r="E3" s="5" t="s">
        <v>11</v>
      </c>
      <c r="F3">
        <v>131713</v>
      </c>
    </row>
    <row r="4" spans="1:6" x14ac:dyDescent="0.3">
      <c r="A4" s="5" t="s">
        <v>13</v>
      </c>
      <c r="B4">
        <v>340295</v>
      </c>
      <c r="E4" s="5" t="s">
        <v>10</v>
      </c>
      <c r="F4">
        <v>94745</v>
      </c>
    </row>
    <row r="5" spans="1:6" x14ac:dyDescent="0.3">
      <c r="A5" s="5" t="s">
        <v>18</v>
      </c>
      <c r="B5">
        <v>57281</v>
      </c>
      <c r="E5" s="5" t="s">
        <v>19</v>
      </c>
      <c r="F5">
        <v>141056</v>
      </c>
    </row>
    <row r="6" spans="1:6" x14ac:dyDescent="0.3">
      <c r="A6" s="5" t="s">
        <v>21</v>
      </c>
      <c r="B6">
        <v>142439</v>
      </c>
      <c r="E6" s="5" t="s">
        <v>12</v>
      </c>
      <c r="F6">
        <v>155168</v>
      </c>
    </row>
    <row r="7" spans="1:6" x14ac:dyDescent="0.3">
      <c r="A7" s="5" t="s">
        <v>17</v>
      </c>
      <c r="B7">
        <v>136945</v>
      </c>
      <c r="E7" s="5" t="s">
        <v>20</v>
      </c>
      <c r="F7">
        <v>66782</v>
      </c>
    </row>
    <row r="8" spans="1:6" x14ac:dyDescent="0.3">
      <c r="A8" s="5" t="s">
        <v>16</v>
      </c>
      <c r="B8">
        <v>57079</v>
      </c>
      <c r="E8" s="5" t="s">
        <v>9</v>
      </c>
      <c r="F8">
        <v>173137</v>
      </c>
    </row>
    <row r="9" spans="1:6" x14ac:dyDescent="0.3">
      <c r="A9" s="5" t="s">
        <v>15</v>
      </c>
      <c r="B9">
        <v>104438</v>
      </c>
      <c r="E9" s="5" t="s">
        <v>8</v>
      </c>
      <c r="F9">
        <v>267133</v>
      </c>
    </row>
    <row r="10" spans="1:6" x14ac:dyDescent="0.3">
      <c r="A10" s="5" t="s">
        <v>56</v>
      </c>
      <c r="B10">
        <v>1029734</v>
      </c>
      <c r="E10" s="5" t="s">
        <v>56</v>
      </c>
      <c r="F10">
        <v>1029734</v>
      </c>
    </row>
    <row r="13" spans="1:6" x14ac:dyDescent="0.3">
      <c r="A13" t="s">
        <v>59</v>
      </c>
      <c r="E13" t="s">
        <v>61</v>
      </c>
    </row>
    <row r="14" spans="1:6" x14ac:dyDescent="0.3">
      <c r="A14" s="4" t="s">
        <v>55</v>
      </c>
      <c r="B14" t="s">
        <v>57</v>
      </c>
      <c r="E14" s="4" t="s">
        <v>55</v>
      </c>
      <c r="F14" t="s">
        <v>62</v>
      </c>
    </row>
    <row r="15" spans="1:6" x14ac:dyDescent="0.3">
      <c r="A15" s="5" t="s">
        <v>5</v>
      </c>
      <c r="B15">
        <v>693069</v>
      </c>
      <c r="E15" s="5" t="s">
        <v>14</v>
      </c>
      <c r="F15">
        <v>4781.4250000000002</v>
      </c>
    </row>
    <row r="16" spans="1:6" x14ac:dyDescent="0.3">
      <c r="A16" s="5" t="s">
        <v>6</v>
      </c>
      <c r="B16">
        <v>336665</v>
      </c>
      <c r="E16" s="5" t="s">
        <v>13</v>
      </c>
      <c r="F16">
        <v>4792.8873239436616</v>
      </c>
    </row>
    <row r="17" spans="1:6" x14ac:dyDescent="0.3">
      <c r="A17" s="5" t="s">
        <v>56</v>
      </c>
      <c r="B17">
        <v>1029734</v>
      </c>
      <c r="E17" s="5" t="s">
        <v>18</v>
      </c>
      <c r="F17">
        <v>4406.2307692307695</v>
      </c>
    </row>
    <row r="18" spans="1:6" x14ac:dyDescent="0.3">
      <c r="E18" s="5" t="s">
        <v>21</v>
      </c>
      <c r="F18">
        <v>5275.5185185185182</v>
      </c>
    </row>
    <row r="19" spans="1:6" x14ac:dyDescent="0.3">
      <c r="E19" s="5" t="s">
        <v>17</v>
      </c>
      <c r="F19">
        <v>5072.0370370370374</v>
      </c>
    </row>
    <row r="20" spans="1:6" x14ac:dyDescent="0.3">
      <c r="E20" s="5" t="s">
        <v>16</v>
      </c>
      <c r="F20">
        <v>5189</v>
      </c>
    </row>
    <row r="21" spans="1:6" x14ac:dyDescent="0.3">
      <c r="E21" s="5" t="s">
        <v>15</v>
      </c>
      <c r="F21">
        <v>4351.583333333333</v>
      </c>
    </row>
    <row r="22" spans="1:6" x14ac:dyDescent="0.3">
      <c r="E22" s="5" t="s">
        <v>56</v>
      </c>
      <c r="F22">
        <v>4834.4319248826287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78"/>
  <sheetViews>
    <sheetView workbookViewId="0">
      <selection activeCell="H6" sqref="H6"/>
    </sheetView>
  </sheetViews>
  <sheetFormatPr defaultRowHeight="14.4" x14ac:dyDescent="0.3"/>
  <cols>
    <col min="1" max="1" width="14.44140625" bestFit="1" customWidth="1"/>
    <col min="2" max="2" width="15.5546875" bestFit="1" customWidth="1"/>
    <col min="3" max="3" width="7.33203125" bestFit="1" customWidth="1"/>
    <col min="4" max="4" width="7" bestFit="1" customWidth="1"/>
    <col min="5" max="5" width="8.6640625" bestFit="1" customWidth="1"/>
    <col min="6" max="6" width="11.88671875" bestFit="1" customWidth="1"/>
    <col min="7" max="7" width="14.77734375" bestFit="1" customWidth="1"/>
    <col min="8" max="8" width="12.21875" bestFit="1" customWidth="1"/>
    <col min="9" max="9" width="10.77734375" bestFit="1" customWidth="1"/>
    <col min="10" max="10" width="7" bestFit="1" customWidth="1"/>
    <col min="11" max="13" width="6" bestFit="1" customWidth="1"/>
    <col min="14" max="14" width="10.77734375" bestFit="1" customWidth="1"/>
    <col min="15" max="15" width="12" bestFit="1" customWidth="1"/>
    <col min="16" max="16" width="8.5546875" bestFit="1" customWidth="1"/>
    <col min="17" max="17" width="7.33203125" bestFit="1" customWidth="1"/>
    <col min="18" max="18" width="6" bestFit="1" customWidth="1"/>
    <col min="19" max="19" width="8.33203125" bestFit="1" customWidth="1"/>
    <col min="20" max="21" width="7" bestFit="1" customWidth="1"/>
    <col min="22" max="22" width="7.109375" bestFit="1" customWidth="1"/>
    <col min="23" max="23" width="11.21875" bestFit="1" customWidth="1"/>
    <col min="24" max="24" width="10.6640625" bestFit="1" customWidth="1"/>
    <col min="25" max="25" width="7.33203125" bestFit="1" customWidth="1"/>
    <col min="26" max="26" width="6" bestFit="1" customWidth="1"/>
    <col min="27" max="27" width="8.33203125" bestFit="1" customWidth="1"/>
    <col min="28" max="29" width="7" bestFit="1" customWidth="1"/>
    <col min="30" max="30" width="7.109375" bestFit="1" customWidth="1"/>
    <col min="31" max="31" width="13.44140625" bestFit="1" customWidth="1"/>
    <col min="32" max="32" width="13.88671875" bestFit="1" customWidth="1"/>
    <col min="33" max="33" width="7.33203125" bestFit="1" customWidth="1"/>
    <col min="34" max="34" width="8.33203125" bestFit="1" customWidth="1"/>
    <col min="35" max="35" width="7.109375" bestFit="1" customWidth="1"/>
    <col min="36" max="36" width="16.6640625" bestFit="1" customWidth="1"/>
    <col min="37" max="37" width="16.77734375" bestFit="1" customWidth="1"/>
    <col min="38" max="38" width="7.33203125" bestFit="1" customWidth="1"/>
    <col min="39" max="39" width="6" bestFit="1" customWidth="1"/>
    <col min="40" max="40" width="8.33203125" bestFit="1" customWidth="1"/>
    <col min="41" max="42" width="7" bestFit="1" customWidth="1"/>
    <col min="43" max="43" width="7.109375" bestFit="1" customWidth="1"/>
    <col min="44" max="44" width="19.5546875" bestFit="1" customWidth="1"/>
    <col min="45" max="45" width="14.21875" bestFit="1" customWidth="1"/>
    <col min="46" max="46" width="7.33203125" bestFit="1" customWidth="1"/>
    <col min="47" max="47" width="6" bestFit="1" customWidth="1"/>
    <col min="48" max="48" width="8.33203125" bestFit="1" customWidth="1"/>
    <col min="49" max="50" width="7" bestFit="1" customWidth="1"/>
    <col min="51" max="51" width="7.109375" bestFit="1" customWidth="1"/>
    <col min="52" max="52" width="17" bestFit="1" customWidth="1"/>
    <col min="53" max="53" width="10.77734375" bestFit="1" customWidth="1"/>
    <col min="54" max="56" width="8.77734375" bestFit="1" customWidth="1"/>
    <col min="57" max="71" width="9.77734375" bestFit="1" customWidth="1"/>
    <col min="72" max="72" width="8.77734375" bestFit="1" customWidth="1"/>
    <col min="73" max="79" width="9.77734375" bestFit="1" customWidth="1"/>
    <col min="80" max="82" width="8.77734375" bestFit="1" customWidth="1"/>
    <col min="83" max="92" width="9.77734375" bestFit="1" customWidth="1"/>
    <col min="93" max="94" width="8.77734375" bestFit="1" customWidth="1"/>
    <col min="95" max="103" width="9.77734375" bestFit="1" customWidth="1"/>
    <col min="104" max="109" width="8.77734375" bestFit="1" customWidth="1"/>
    <col min="110" max="121" width="9.77734375" bestFit="1" customWidth="1"/>
    <col min="122" max="126" width="10.77734375" bestFit="1" customWidth="1"/>
    <col min="127" max="129" width="9.77734375" bestFit="1" customWidth="1"/>
    <col min="130" max="136" width="10.77734375" bestFit="1" customWidth="1"/>
    <col min="137" max="140" width="9.77734375" bestFit="1" customWidth="1"/>
    <col min="141" max="152" width="10.77734375" bestFit="1" customWidth="1"/>
  </cols>
  <sheetData>
    <row r="2" spans="1:9" x14ac:dyDescent="0.3">
      <c r="A2" t="s">
        <v>64</v>
      </c>
    </row>
    <row r="3" spans="1:9" x14ac:dyDescent="0.3">
      <c r="A3" s="4" t="s">
        <v>57</v>
      </c>
      <c r="B3" s="4" t="s">
        <v>63</v>
      </c>
    </row>
    <row r="4" spans="1:9" x14ac:dyDescent="0.3">
      <c r="A4" s="4" t="s">
        <v>55</v>
      </c>
      <c r="B4" t="s">
        <v>11</v>
      </c>
      <c r="C4" t="s">
        <v>10</v>
      </c>
      <c r="D4" t="s">
        <v>19</v>
      </c>
      <c r="E4" t="s">
        <v>12</v>
      </c>
      <c r="F4" t="s">
        <v>20</v>
      </c>
      <c r="G4" t="s">
        <v>9</v>
      </c>
      <c r="H4" t="s">
        <v>8</v>
      </c>
      <c r="I4" t="s">
        <v>56</v>
      </c>
    </row>
    <row r="5" spans="1:9" x14ac:dyDescent="0.3">
      <c r="A5" s="5" t="s">
        <v>14</v>
      </c>
      <c r="B5">
        <v>20634</v>
      </c>
      <c r="C5">
        <v>24867</v>
      </c>
      <c r="D5">
        <v>80193</v>
      </c>
      <c r="E5">
        <v>9082</v>
      </c>
      <c r="F5">
        <v>10332</v>
      </c>
      <c r="G5">
        <v>17534</v>
      </c>
      <c r="H5">
        <v>28615</v>
      </c>
      <c r="I5">
        <v>191257</v>
      </c>
    </row>
    <row r="6" spans="1:9" x14ac:dyDescent="0.3">
      <c r="A6" s="5" t="s">
        <v>13</v>
      </c>
      <c r="B6">
        <v>52721</v>
      </c>
      <c r="C6">
        <v>33775</v>
      </c>
      <c r="D6">
        <v>36094</v>
      </c>
      <c r="E6">
        <v>39686</v>
      </c>
      <c r="F6">
        <v>40050</v>
      </c>
      <c r="G6">
        <v>42908</v>
      </c>
      <c r="H6">
        <v>95061</v>
      </c>
      <c r="I6">
        <v>340295</v>
      </c>
    </row>
    <row r="7" spans="1:9" x14ac:dyDescent="0.3">
      <c r="A7" s="5" t="s">
        <v>18</v>
      </c>
      <c r="B7">
        <v>14433</v>
      </c>
      <c r="D7">
        <v>680</v>
      </c>
      <c r="E7">
        <v>29905</v>
      </c>
      <c r="G7">
        <v>5100</v>
      </c>
      <c r="H7">
        <v>7163</v>
      </c>
      <c r="I7">
        <v>57281</v>
      </c>
    </row>
    <row r="8" spans="1:9" x14ac:dyDescent="0.3">
      <c r="A8" s="5" t="s">
        <v>21</v>
      </c>
      <c r="B8">
        <v>17953</v>
      </c>
      <c r="C8">
        <v>12407</v>
      </c>
      <c r="D8">
        <v>5341</v>
      </c>
      <c r="E8">
        <v>37197</v>
      </c>
      <c r="F8">
        <v>4390</v>
      </c>
      <c r="G8">
        <v>38436</v>
      </c>
      <c r="H8">
        <v>26715</v>
      </c>
      <c r="I8">
        <v>142439</v>
      </c>
    </row>
    <row r="9" spans="1:9" x14ac:dyDescent="0.3">
      <c r="A9" s="5" t="s">
        <v>17</v>
      </c>
      <c r="B9">
        <v>8106</v>
      </c>
      <c r="D9">
        <v>9104</v>
      </c>
      <c r="E9">
        <v>21636</v>
      </c>
      <c r="G9">
        <v>41815</v>
      </c>
      <c r="H9">
        <v>56284</v>
      </c>
      <c r="I9">
        <v>136945</v>
      </c>
    </row>
    <row r="10" spans="1:9" x14ac:dyDescent="0.3">
      <c r="A10" s="5" t="s">
        <v>16</v>
      </c>
      <c r="B10">
        <v>9186</v>
      </c>
      <c r="C10">
        <v>3767</v>
      </c>
      <c r="D10">
        <v>7388</v>
      </c>
      <c r="E10">
        <v>8775</v>
      </c>
      <c r="G10">
        <v>5600</v>
      </c>
      <c r="H10">
        <v>22363</v>
      </c>
      <c r="I10">
        <v>57079</v>
      </c>
    </row>
    <row r="11" spans="1:9" x14ac:dyDescent="0.3">
      <c r="A11" s="5" t="s">
        <v>15</v>
      </c>
      <c r="B11">
        <v>8680</v>
      </c>
      <c r="C11">
        <v>19929</v>
      </c>
      <c r="D11">
        <v>2256</v>
      </c>
      <c r="E11">
        <v>8887</v>
      </c>
      <c r="F11">
        <v>12010</v>
      </c>
      <c r="G11">
        <v>21744</v>
      </c>
      <c r="H11">
        <v>30932</v>
      </c>
      <c r="I11">
        <v>104438</v>
      </c>
    </row>
    <row r="12" spans="1:9" x14ac:dyDescent="0.3">
      <c r="A12" s="5" t="s">
        <v>56</v>
      </c>
      <c r="B12">
        <v>131713</v>
      </c>
      <c r="C12">
        <v>94745</v>
      </c>
      <c r="D12">
        <v>141056</v>
      </c>
      <c r="E12">
        <v>155168</v>
      </c>
      <c r="F12">
        <v>66782</v>
      </c>
      <c r="G12">
        <v>173137</v>
      </c>
      <c r="H12">
        <v>267133</v>
      </c>
      <c r="I12">
        <v>1029734</v>
      </c>
    </row>
    <row r="15" spans="1:9" x14ac:dyDescent="0.3">
      <c r="A15" t="s">
        <v>65</v>
      </c>
    </row>
    <row r="16" spans="1:9" x14ac:dyDescent="0.3">
      <c r="A16" s="4" t="s">
        <v>57</v>
      </c>
      <c r="B16" s="4" t="s">
        <v>63</v>
      </c>
    </row>
    <row r="17" spans="1:14" x14ac:dyDescent="0.3">
      <c r="A17" s="4" t="s">
        <v>55</v>
      </c>
      <c r="B17" t="s">
        <v>11</v>
      </c>
      <c r="C17" t="s">
        <v>10</v>
      </c>
      <c r="D17" t="s">
        <v>19</v>
      </c>
      <c r="E17" t="s">
        <v>12</v>
      </c>
      <c r="F17" t="s">
        <v>20</v>
      </c>
      <c r="G17" t="s">
        <v>9</v>
      </c>
      <c r="H17" t="s">
        <v>8</v>
      </c>
      <c r="I17" t="s">
        <v>56</v>
      </c>
    </row>
    <row r="18" spans="1:14" x14ac:dyDescent="0.3">
      <c r="A18" s="5" t="s">
        <v>5</v>
      </c>
      <c r="B18">
        <v>91221</v>
      </c>
      <c r="C18">
        <v>82338</v>
      </c>
      <c r="D18">
        <v>125931</v>
      </c>
      <c r="E18">
        <v>66430</v>
      </c>
      <c r="F18">
        <v>62392</v>
      </c>
      <c r="G18">
        <v>87786</v>
      </c>
      <c r="H18">
        <v>176971</v>
      </c>
      <c r="I18">
        <v>693069</v>
      </c>
    </row>
    <row r="19" spans="1:14" x14ac:dyDescent="0.3">
      <c r="A19" s="5" t="s">
        <v>6</v>
      </c>
      <c r="B19">
        <v>40492</v>
      </c>
      <c r="C19">
        <v>12407</v>
      </c>
      <c r="D19">
        <v>15125</v>
      </c>
      <c r="E19">
        <v>88738</v>
      </c>
      <c r="F19">
        <v>4390</v>
      </c>
      <c r="G19">
        <v>85351</v>
      </c>
      <c r="H19">
        <v>90162</v>
      </c>
      <c r="I19">
        <v>336665</v>
      </c>
    </row>
    <row r="20" spans="1:14" x14ac:dyDescent="0.3">
      <c r="A20" s="5" t="s">
        <v>56</v>
      </c>
      <c r="B20">
        <v>131713</v>
      </c>
      <c r="C20">
        <v>94745</v>
      </c>
      <c r="D20">
        <v>141056</v>
      </c>
      <c r="E20">
        <v>155168</v>
      </c>
      <c r="F20">
        <v>66782</v>
      </c>
      <c r="G20">
        <v>173137</v>
      </c>
      <c r="H20">
        <v>267133</v>
      </c>
      <c r="I20">
        <v>1029734</v>
      </c>
    </row>
    <row r="23" spans="1:14" x14ac:dyDescent="0.3">
      <c r="A23" s="5" t="s">
        <v>78</v>
      </c>
    </row>
    <row r="24" spans="1:14" x14ac:dyDescent="0.3">
      <c r="A24" s="4" t="s">
        <v>57</v>
      </c>
      <c r="B24" s="4" t="s">
        <v>63</v>
      </c>
    </row>
    <row r="25" spans="1:14" x14ac:dyDescent="0.3">
      <c r="A25" s="4" t="s">
        <v>55</v>
      </c>
      <c r="B25" t="s">
        <v>66</v>
      </c>
      <c r="C25" t="s">
        <v>67</v>
      </c>
      <c r="D25" t="s">
        <v>68</v>
      </c>
      <c r="E25" t="s">
        <v>69</v>
      </c>
      <c r="F25" t="s">
        <v>70</v>
      </c>
      <c r="G25" t="s">
        <v>71</v>
      </c>
      <c r="H25" t="s">
        <v>72</v>
      </c>
      <c r="I25" t="s">
        <v>73</v>
      </c>
      <c r="J25" t="s">
        <v>74</v>
      </c>
      <c r="K25" t="s">
        <v>75</v>
      </c>
      <c r="L25" t="s">
        <v>76</v>
      </c>
      <c r="M25" t="s">
        <v>77</v>
      </c>
      <c r="N25" t="s">
        <v>56</v>
      </c>
    </row>
    <row r="26" spans="1:14" x14ac:dyDescent="0.3">
      <c r="A26" s="5" t="s">
        <v>14</v>
      </c>
      <c r="B26">
        <v>16794</v>
      </c>
      <c r="C26">
        <v>19715</v>
      </c>
      <c r="D26">
        <v>25702</v>
      </c>
      <c r="E26">
        <v>14586</v>
      </c>
      <c r="F26">
        <v>22557</v>
      </c>
      <c r="G26">
        <v>6126</v>
      </c>
      <c r="H26">
        <v>2034</v>
      </c>
      <c r="I26">
        <v>22611</v>
      </c>
      <c r="J26">
        <v>8489</v>
      </c>
      <c r="K26">
        <v>15331</v>
      </c>
      <c r="L26">
        <v>11978</v>
      </c>
      <c r="M26">
        <v>25334</v>
      </c>
      <c r="N26">
        <v>191257</v>
      </c>
    </row>
    <row r="27" spans="1:14" x14ac:dyDescent="0.3">
      <c r="A27" s="5" t="s">
        <v>13</v>
      </c>
      <c r="B27">
        <v>29728</v>
      </c>
      <c r="C27">
        <v>9228</v>
      </c>
      <c r="D27">
        <v>26224</v>
      </c>
      <c r="E27">
        <v>16001</v>
      </c>
      <c r="F27">
        <v>69521</v>
      </c>
      <c r="G27">
        <v>15208</v>
      </c>
      <c r="H27">
        <v>31336</v>
      </c>
      <c r="I27">
        <v>9980</v>
      </c>
      <c r="J27">
        <v>51835</v>
      </c>
      <c r="K27">
        <v>22320</v>
      </c>
      <c r="L27">
        <v>29530</v>
      </c>
      <c r="M27">
        <v>29384</v>
      </c>
      <c r="N27">
        <v>340295</v>
      </c>
    </row>
    <row r="28" spans="1:14" x14ac:dyDescent="0.3">
      <c r="A28" s="5" t="s">
        <v>18</v>
      </c>
      <c r="B28">
        <v>2626</v>
      </c>
      <c r="C28">
        <v>15823</v>
      </c>
      <c r="D28">
        <v>6045</v>
      </c>
      <c r="F28">
        <v>8096</v>
      </c>
      <c r="H28">
        <v>8416</v>
      </c>
      <c r="I28">
        <v>5761</v>
      </c>
      <c r="K28">
        <v>5015</v>
      </c>
      <c r="M28">
        <v>5499</v>
      </c>
      <c r="N28">
        <v>57281</v>
      </c>
    </row>
    <row r="29" spans="1:14" x14ac:dyDescent="0.3">
      <c r="A29" s="5" t="s">
        <v>21</v>
      </c>
      <c r="B29">
        <v>30732</v>
      </c>
      <c r="C29">
        <v>1557</v>
      </c>
      <c r="D29">
        <v>5341</v>
      </c>
      <c r="E29">
        <v>9508</v>
      </c>
      <c r="F29">
        <v>17104</v>
      </c>
      <c r="G29">
        <v>25752</v>
      </c>
      <c r="H29">
        <v>13170</v>
      </c>
      <c r="I29">
        <v>20386</v>
      </c>
      <c r="J29">
        <v>18605</v>
      </c>
      <c r="L29">
        <v>284</v>
      </c>
      <c r="N29">
        <v>142439</v>
      </c>
    </row>
    <row r="30" spans="1:14" x14ac:dyDescent="0.3">
      <c r="A30" s="5" t="s">
        <v>17</v>
      </c>
      <c r="B30">
        <v>6173</v>
      </c>
      <c r="C30">
        <v>5154</v>
      </c>
      <c r="D30">
        <v>21722</v>
      </c>
      <c r="E30">
        <v>8266</v>
      </c>
      <c r="F30">
        <v>28887</v>
      </c>
      <c r="H30">
        <v>5751</v>
      </c>
      <c r="I30">
        <v>9397</v>
      </c>
      <c r="J30">
        <v>7933</v>
      </c>
      <c r="K30">
        <v>9949</v>
      </c>
      <c r="L30">
        <v>7857</v>
      </c>
      <c r="M30">
        <v>25856</v>
      </c>
      <c r="N30">
        <v>136945</v>
      </c>
    </row>
    <row r="31" spans="1:14" x14ac:dyDescent="0.3">
      <c r="A31" s="5" t="s">
        <v>16</v>
      </c>
      <c r="C31">
        <v>9029</v>
      </c>
      <c r="D31">
        <v>3663</v>
      </c>
      <c r="F31">
        <v>33384</v>
      </c>
      <c r="H31">
        <v>5480</v>
      </c>
      <c r="J31">
        <v>5523</v>
      </c>
      <c r="N31">
        <v>57079</v>
      </c>
    </row>
    <row r="32" spans="1:14" x14ac:dyDescent="0.3">
      <c r="A32" s="5" t="s">
        <v>15</v>
      </c>
      <c r="B32">
        <v>3610</v>
      </c>
      <c r="C32">
        <v>2256</v>
      </c>
      <c r="D32">
        <v>15869</v>
      </c>
      <c r="E32">
        <v>1113</v>
      </c>
      <c r="F32">
        <v>23790</v>
      </c>
      <c r="G32">
        <v>4514</v>
      </c>
      <c r="H32">
        <v>14548</v>
      </c>
      <c r="I32">
        <v>859</v>
      </c>
      <c r="J32">
        <v>10048</v>
      </c>
      <c r="L32">
        <v>24091</v>
      </c>
      <c r="M32">
        <v>3740</v>
      </c>
      <c r="N32">
        <v>104438</v>
      </c>
    </row>
    <row r="33" spans="1:14" x14ac:dyDescent="0.3">
      <c r="A33" s="5" t="s">
        <v>56</v>
      </c>
      <c r="B33">
        <v>89663</v>
      </c>
      <c r="C33">
        <v>62762</v>
      </c>
      <c r="D33">
        <v>104566</v>
      </c>
      <c r="E33">
        <v>49474</v>
      </c>
      <c r="F33">
        <v>203339</v>
      </c>
      <c r="G33">
        <v>51600</v>
      </c>
      <c r="H33">
        <v>80735</v>
      </c>
      <c r="I33">
        <v>68994</v>
      </c>
      <c r="J33">
        <v>102433</v>
      </c>
      <c r="K33">
        <v>52615</v>
      </c>
      <c r="L33">
        <v>73740</v>
      </c>
      <c r="M33">
        <v>89813</v>
      </c>
      <c r="N33">
        <v>1029734</v>
      </c>
    </row>
    <row r="37" spans="1:14" x14ac:dyDescent="0.3">
      <c r="A37" t="s">
        <v>80</v>
      </c>
    </row>
    <row r="38" spans="1:14" x14ac:dyDescent="0.3">
      <c r="A38" s="4" t="s">
        <v>57</v>
      </c>
      <c r="B38" s="4" t="s">
        <v>63</v>
      </c>
    </row>
    <row r="39" spans="1:14" x14ac:dyDescent="0.3">
      <c r="A39" s="4" t="s">
        <v>55</v>
      </c>
      <c r="B39" t="s">
        <v>5</v>
      </c>
      <c r="C39" t="s">
        <v>6</v>
      </c>
      <c r="D39" t="s">
        <v>56</v>
      </c>
    </row>
    <row r="40" spans="1:14" x14ac:dyDescent="0.3">
      <c r="A40" s="5" t="s">
        <v>66</v>
      </c>
      <c r="B40">
        <v>50132</v>
      </c>
      <c r="C40">
        <v>39531</v>
      </c>
      <c r="D40">
        <v>89663</v>
      </c>
    </row>
    <row r="41" spans="1:14" x14ac:dyDescent="0.3">
      <c r="A41" s="5" t="s">
        <v>67</v>
      </c>
      <c r="B41">
        <v>40228</v>
      </c>
      <c r="C41">
        <v>22534</v>
      </c>
      <c r="D41">
        <v>62762</v>
      </c>
    </row>
    <row r="42" spans="1:14" x14ac:dyDescent="0.3">
      <c r="A42" s="5" t="s">
        <v>68</v>
      </c>
      <c r="B42">
        <v>71458</v>
      </c>
      <c r="C42">
        <v>33108</v>
      </c>
      <c r="D42">
        <v>104566</v>
      </c>
    </row>
    <row r="43" spans="1:14" x14ac:dyDescent="0.3">
      <c r="A43" s="5" t="s">
        <v>69</v>
      </c>
      <c r="B43">
        <v>31700</v>
      </c>
      <c r="C43">
        <v>17774</v>
      </c>
      <c r="D43">
        <v>49474</v>
      </c>
    </row>
    <row r="44" spans="1:14" x14ac:dyDescent="0.3">
      <c r="A44" s="5" t="s">
        <v>70</v>
      </c>
      <c r="B44">
        <v>149252</v>
      </c>
      <c r="C44">
        <v>54087</v>
      </c>
      <c r="D44">
        <v>203339</v>
      </c>
    </row>
    <row r="45" spans="1:14" x14ac:dyDescent="0.3">
      <c r="A45" s="5" t="s">
        <v>71</v>
      </c>
      <c r="B45">
        <v>25848</v>
      </c>
      <c r="C45">
        <v>25752</v>
      </c>
      <c r="D45">
        <v>51600</v>
      </c>
    </row>
    <row r="46" spans="1:14" x14ac:dyDescent="0.3">
      <c r="A46" s="5" t="s">
        <v>72</v>
      </c>
      <c r="B46">
        <v>53398</v>
      </c>
      <c r="C46">
        <v>27337</v>
      </c>
      <c r="D46">
        <v>80735</v>
      </c>
    </row>
    <row r="47" spans="1:14" x14ac:dyDescent="0.3">
      <c r="A47" s="5" t="s">
        <v>73</v>
      </c>
      <c r="B47">
        <v>33450</v>
      </c>
      <c r="C47">
        <v>35544</v>
      </c>
      <c r="D47">
        <v>68994</v>
      </c>
    </row>
    <row r="48" spans="1:14" x14ac:dyDescent="0.3">
      <c r="A48" s="5" t="s">
        <v>74</v>
      </c>
      <c r="B48">
        <v>75895</v>
      </c>
      <c r="C48">
        <v>26538</v>
      </c>
      <c r="D48">
        <v>102433</v>
      </c>
    </row>
    <row r="49" spans="1:9" x14ac:dyDescent="0.3">
      <c r="A49" s="5" t="s">
        <v>75</v>
      </c>
      <c r="B49">
        <v>37651</v>
      </c>
      <c r="C49">
        <v>14964</v>
      </c>
      <c r="D49">
        <v>52615</v>
      </c>
    </row>
    <row r="50" spans="1:9" x14ac:dyDescent="0.3">
      <c r="A50" s="5" t="s">
        <v>76</v>
      </c>
      <c r="B50">
        <v>65599</v>
      </c>
      <c r="C50">
        <v>8141</v>
      </c>
      <c r="D50">
        <v>73740</v>
      </c>
    </row>
    <row r="51" spans="1:9" x14ac:dyDescent="0.3">
      <c r="A51" s="5" t="s">
        <v>77</v>
      </c>
      <c r="B51">
        <v>58458</v>
      </c>
      <c r="C51">
        <v>31355</v>
      </c>
      <c r="D51">
        <v>89813</v>
      </c>
    </row>
    <row r="52" spans="1:9" x14ac:dyDescent="0.3">
      <c r="A52" s="5" t="s">
        <v>56</v>
      </c>
      <c r="B52">
        <v>693069</v>
      </c>
      <c r="C52">
        <v>336665</v>
      </c>
      <c r="D52">
        <v>1029734</v>
      </c>
    </row>
    <row r="55" spans="1:9" x14ac:dyDescent="0.3">
      <c r="A55" s="5" t="s">
        <v>79</v>
      </c>
    </row>
    <row r="56" spans="1:9" x14ac:dyDescent="0.3">
      <c r="A56" s="4" t="s">
        <v>57</v>
      </c>
      <c r="B56" s="4" t="s">
        <v>63</v>
      </c>
    </row>
    <row r="57" spans="1:9" x14ac:dyDescent="0.3">
      <c r="A57" s="4" t="s">
        <v>55</v>
      </c>
      <c r="B57" t="s">
        <v>11</v>
      </c>
      <c r="C57" t="s">
        <v>10</v>
      </c>
      <c r="D57" t="s">
        <v>19</v>
      </c>
      <c r="E57" t="s">
        <v>12</v>
      </c>
      <c r="F57" t="s">
        <v>20</v>
      </c>
      <c r="G57" t="s">
        <v>9</v>
      </c>
      <c r="H57" t="s">
        <v>8</v>
      </c>
      <c r="I57" t="s">
        <v>56</v>
      </c>
    </row>
    <row r="58" spans="1:9" x14ac:dyDescent="0.3">
      <c r="A58" s="5" t="s">
        <v>14</v>
      </c>
      <c r="B58">
        <v>20634</v>
      </c>
      <c r="C58">
        <v>24867</v>
      </c>
      <c r="D58">
        <v>80193</v>
      </c>
      <c r="E58">
        <v>9082</v>
      </c>
      <c r="F58">
        <v>10332</v>
      </c>
      <c r="G58">
        <v>17534</v>
      </c>
      <c r="H58">
        <v>28615</v>
      </c>
      <c r="I58">
        <v>191257</v>
      </c>
    </row>
    <row r="59" spans="1:9" x14ac:dyDescent="0.3">
      <c r="A59" s="5" t="s">
        <v>13</v>
      </c>
      <c r="B59">
        <v>52721</v>
      </c>
      <c r="C59">
        <v>33775</v>
      </c>
      <c r="D59">
        <v>36094</v>
      </c>
      <c r="E59">
        <v>39686</v>
      </c>
      <c r="F59">
        <v>40050</v>
      </c>
      <c r="G59">
        <v>42908</v>
      </c>
      <c r="H59">
        <v>95061</v>
      </c>
      <c r="I59">
        <v>340295</v>
      </c>
    </row>
    <row r="60" spans="1:9" x14ac:dyDescent="0.3">
      <c r="A60" s="5" t="s">
        <v>18</v>
      </c>
      <c r="B60">
        <v>14433</v>
      </c>
      <c r="D60">
        <v>680</v>
      </c>
      <c r="E60">
        <v>29905</v>
      </c>
      <c r="G60">
        <v>5100</v>
      </c>
      <c r="H60">
        <v>7163</v>
      </c>
      <c r="I60">
        <v>57281</v>
      </c>
    </row>
    <row r="61" spans="1:9" x14ac:dyDescent="0.3">
      <c r="A61" s="5" t="s">
        <v>21</v>
      </c>
      <c r="B61">
        <v>17953</v>
      </c>
      <c r="C61">
        <v>12407</v>
      </c>
      <c r="D61">
        <v>5341</v>
      </c>
      <c r="E61">
        <v>37197</v>
      </c>
      <c r="F61">
        <v>4390</v>
      </c>
      <c r="G61">
        <v>38436</v>
      </c>
      <c r="H61">
        <v>26715</v>
      </c>
      <c r="I61">
        <v>142439</v>
      </c>
    </row>
    <row r="62" spans="1:9" x14ac:dyDescent="0.3">
      <c r="A62" s="5" t="s">
        <v>17</v>
      </c>
      <c r="B62">
        <v>8106</v>
      </c>
      <c r="D62">
        <v>9104</v>
      </c>
      <c r="E62">
        <v>21636</v>
      </c>
      <c r="G62">
        <v>41815</v>
      </c>
      <c r="H62">
        <v>56284</v>
      </c>
      <c r="I62">
        <v>136945</v>
      </c>
    </row>
    <row r="63" spans="1:9" x14ac:dyDescent="0.3">
      <c r="A63" s="5" t="s">
        <v>16</v>
      </c>
      <c r="B63">
        <v>9186</v>
      </c>
      <c r="C63">
        <v>3767</v>
      </c>
      <c r="D63">
        <v>7388</v>
      </c>
      <c r="E63">
        <v>8775</v>
      </c>
      <c r="G63">
        <v>5600</v>
      </c>
      <c r="H63">
        <v>22363</v>
      </c>
      <c r="I63">
        <v>57079</v>
      </c>
    </row>
    <row r="64" spans="1:9" x14ac:dyDescent="0.3">
      <c r="A64" s="5" t="s">
        <v>15</v>
      </c>
      <c r="B64">
        <v>8680</v>
      </c>
      <c r="C64">
        <v>19929</v>
      </c>
      <c r="D64">
        <v>2256</v>
      </c>
      <c r="E64">
        <v>8887</v>
      </c>
      <c r="F64">
        <v>12010</v>
      </c>
      <c r="G64">
        <v>21744</v>
      </c>
      <c r="H64">
        <v>30932</v>
      </c>
      <c r="I64">
        <v>104438</v>
      </c>
    </row>
    <row r="65" spans="1:9" x14ac:dyDescent="0.3">
      <c r="A65" s="5" t="s">
        <v>56</v>
      </c>
      <c r="B65">
        <v>131713</v>
      </c>
      <c r="C65">
        <v>94745</v>
      </c>
      <c r="D65">
        <v>141056</v>
      </c>
      <c r="E65">
        <v>155168</v>
      </c>
      <c r="F65">
        <v>66782</v>
      </c>
      <c r="G65">
        <v>173137</v>
      </c>
      <c r="H65">
        <v>267133</v>
      </c>
      <c r="I65">
        <v>1029734</v>
      </c>
    </row>
    <row r="68" spans="1:9" x14ac:dyDescent="0.3">
      <c r="A68" s="5" t="s">
        <v>81</v>
      </c>
    </row>
    <row r="69" spans="1:9" x14ac:dyDescent="0.3">
      <c r="A69" s="4" t="s">
        <v>57</v>
      </c>
      <c r="B69" s="4" t="s">
        <v>63</v>
      </c>
    </row>
    <row r="70" spans="1:9" x14ac:dyDescent="0.3">
      <c r="A70" s="4" t="s">
        <v>55</v>
      </c>
      <c r="B70" t="s">
        <v>5</v>
      </c>
      <c r="C70" t="s">
        <v>6</v>
      </c>
      <c r="D70" t="s">
        <v>56</v>
      </c>
    </row>
    <row r="71" spans="1:9" x14ac:dyDescent="0.3">
      <c r="A71" s="5" t="s">
        <v>11</v>
      </c>
      <c r="B71">
        <v>91221</v>
      </c>
      <c r="C71">
        <v>40492</v>
      </c>
      <c r="D71">
        <v>131713</v>
      </c>
    </row>
    <row r="72" spans="1:9" x14ac:dyDescent="0.3">
      <c r="A72" s="5" t="s">
        <v>10</v>
      </c>
      <c r="B72">
        <v>82338</v>
      </c>
      <c r="C72">
        <v>12407</v>
      </c>
      <c r="D72">
        <v>94745</v>
      </c>
    </row>
    <row r="73" spans="1:9" x14ac:dyDescent="0.3">
      <c r="A73" s="5" t="s">
        <v>19</v>
      </c>
      <c r="B73">
        <v>125931</v>
      </c>
      <c r="C73">
        <v>15125</v>
      </c>
      <c r="D73">
        <v>141056</v>
      </c>
    </row>
    <row r="74" spans="1:9" x14ac:dyDescent="0.3">
      <c r="A74" s="5" t="s">
        <v>12</v>
      </c>
      <c r="B74">
        <v>66430</v>
      </c>
      <c r="C74">
        <v>88738</v>
      </c>
      <c r="D74">
        <v>155168</v>
      </c>
    </row>
    <row r="75" spans="1:9" x14ac:dyDescent="0.3">
      <c r="A75" s="5" t="s">
        <v>20</v>
      </c>
      <c r="B75">
        <v>62392</v>
      </c>
      <c r="C75">
        <v>4390</v>
      </c>
      <c r="D75">
        <v>66782</v>
      </c>
    </row>
    <row r="76" spans="1:9" x14ac:dyDescent="0.3">
      <c r="A76" s="5" t="s">
        <v>9</v>
      </c>
      <c r="B76">
        <v>87786</v>
      </c>
      <c r="C76">
        <v>85351</v>
      </c>
      <c r="D76">
        <v>173137</v>
      </c>
    </row>
    <row r="77" spans="1:9" x14ac:dyDescent="0.3">
      <c r="A77" s="5" t="s">
        <v>8</v>
      </c>
      <c r="B77">
        <v>176971</v>
      </c>
      <c r="C77">
        <v>90162</v>
      </c>
      <c r="D77">
        <v>267133</v>
      </c>
    </row>
    <row r="78" spans="1:9" x14ac:dyDescent="0.3">
      <c r="A78" s="5" t="s">
        <v>56</v>
      </c>
      <c r="B78">
        <v>693069</v>
      </c>
      <c r="C78">
        <v>336665</v>
      </c>
      <c r="D78">
        <v>1029734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DCC53-EF17-4BB3-8B24-E1572A093889}">
  <dimension ref="N7:V25"/>
  <sheetViews>
    <sheetView showGridLines="0" tabSelected="1" topLeftCell="A28" workbookViewId="0">
      <selection activeCell="U35" sqref="U35"/>
    </sheetView>
  </sheetViews>
  <sheetFormatPr defaultRowHeight="14.4" outlineLevelRow="1" outlineLevelCol="2" x14ac:dyDescent="0.3"/>
  <cols>
    <col min="1" max="20" width="8.88671875" style="16"/>
    <col min="21" max="21" width="8.88671875" style="16" outlineLevel="2"/>
    <col min="22" max="22" width="8.88671875" style="16" outlineLevel="1"/>
    <col min="23" max="16384" width="8.88671875" style="16"/>
  </cols>
  <sheetData>
    <row r="7" spans="14:14" outlineLevel="1" x14ac:dyDescent="0.3">
      <c r="N7" s="17"/>
    </row>
    <row r="25" outlineLevel="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BLOSSOM ACADEMY</vt:lpstr>
      <vt:lpstr>Data</vt:lpstr>
      <vt:lpstr>Table</vt:lpstr>
      <vt:lpstr>Descriptions</vt:lpstr>
      <vt:lpstr>One-dimensional Pivot Table</vt:lpstr>
      <vt:lpstr>Two-dimensional Pivot Table</vt:lpstr>
      <vt:lpstr>DASHBOARD </vt:lpstr>
      <vt:lpstr>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excel-easy.com</dc:creator>
  <cp:lastModifiedBy>Cynthia Gawugah</cp:lastModifiedBy>
  <dcterms:created xsi:type="dcterms:W3CDTF">2012-06-12T18:34:12Z</dcterms:created>
  <dcterms:modified xsi:type="dcterms:W3CDTF">2025-11-20T11:33:04Z</dcterms:modified>
</cp:coreProperties>
</file>